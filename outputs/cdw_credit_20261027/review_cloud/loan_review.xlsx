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cd3ab5e00a4f2b" /></Relationships>
</file>

<file path=xl/workbook.xml><?xml version="1.0" encoding="utf-8"?>
<x:workbook xmlns:x="http://schemas.openxmlformats.org/spreadsheetml/2006/main">
  <x:sheets>
    <x:sheet xmlns:r="http://schemas.openxmlformats.org/officeDocument/2006/relationships" name="Review" sheetId="1" r:id="R5dea12f30dd443d1"/>
    <x:sheet xmlns:r="http://schemas.openxmlformats.org/officeDocument/2006/relationships" name="Sources" sheetId="2" r:id="Rf8ce6beebb9a46f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95789445e7499f" /><Relationship Type="http://schemas.openxmlformats.org/officeDocument/2006/relationships/theme" Target="/xl/theme/theme1.xml" Id="R7629daf5a3cb45eb" /><Relationship Type="http://schemas.openxmlformats.org/officeDocument/2006/relationships/sharedStrings" Target="/xl/sharedStrings.xml" Id="Rd5274b32fa284224" /><Relationship Type="http://schemas.openxmlformats.org/officeDocument/2006/relationships/worksheet" Target="/xl/worksheets/sheet1.xml" Id="R5dea12f30dd443d1" /><Relationship Type="http://schemas.openxmlformats.org/officeDocument/2006/relationships/worksheet" Target="/xl/worksheets/sheet2.xml" Id="Rf8ce6beebb9a46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CDW · quarterly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 Reconciliation is incomplete or contains unexplained differences</x:v>
      </x:c>
      <x:c r="B3" s="26"/>
      <x:c r="C3" s="26"/>
      <x:c r="D3" s="26"/>
      <x:c r="E3" s="26"/>
      <x:c r="F3" s="26"/>
      <x:c r="G3" s="26"/>
    </x:row>
    <x:row r="4">
      <x:c r="A4" s="26"/>
      <x:c r="B4" s="26"/>
      <x:c r="C4" s="26"/>
      <x:c r="D4" s="26"/>
      <x:c r="E4" s="26"/>
      <x:c r="F4" s="26"/>
      <x:c r="G4" s="26"/>
    </x:row>
    <x:row r="5">
      <x:c r="A5" s="27" t="str">
        <x:v>YTD (Quarterly) Income</x:v>
      </x:c>
      <x:c r="B5" s="26"/>
      <x:c r="C5" s="26"/>
      <x:c r="D5" s="26"/>
      <x:c r="E5" s="26"/>
      <x:c r="F5" s="26"/>
      <x:c r="G5" s="26"/>
    </x:row>
    <x:row r="6" ht="36" customHeight="1">
      <x:c r="A6" s="28" t="str">
        <x:v>科目</x:v>
      </x:c>
      <x:c r="B6" s="28" t="str">
        <x:v>FY2025 Q2 YTD</x:v>
      </x:c>
      <x:c r="C6" s="28" t="str">
        <x:v>營收占比</x:v>
      </x:c>
      <x:c r="D6" s="28" t="str">
        <x:v>FY2026 Q2 YTD</x:v>
      </x:c>
      <x:c r="E6" s="28" t="str">
        <x:v>營收占比</x:v>
      </x:c>
      <x:c r="F6" s="26"/>
      <x:c r="G6" s="26"/>
    </x:row>
    <x:row r="7" ht="30" customHeight="1">
      <x:c r="A7" s="29" t="str">
        <x:v>Revenues／營業收入</x:v>
      </x:c>
      <x:c r="B7" s="30" t="n">
        <x:f>'Sources'!B4</x:f>
        <x:v>11175.7</x:v>
      </x:c>
      <x:c r="C7" s="31" t="n">
        <x:f>'Sources'!B5</x:f>
        <x:v>1</x:v>
      </x:c>
      <x:c r="D7" s="30" t="n">
        <x:f>'Sources'!B6</x:f>
        <x:v>12252</x:v>
      </x:c>
      <x:c r="E7" s="31" t="n">
        <x:f>'Sources'!B7</x:f>
        <x:v>1</x:v>
      </x:c>
      <x:c r="F7" s="26"/>
      <x:c r="G7" s="26"/>
    </x:row>
    <x:row r="8" ht="30" customHeight="1">
      <x:c r="A8" s="29" t="str">
        <x:v>Cost of revenues／營業成本</x:v>
      </x:c>
      <x:c r="B8" s="30" t="n">
        <x:f>'Sources'!B8</x:f>
        <x:v>8812.2</x:v>
      </x:c>
      <x:c r="C8" s="31" t="n">
        <x:f>'Sources'!B9</x:f>
        <x:v>0.7885143659904973</x:v>
      </x:c>
      <x:c r="D8" s="30" t="n">
        <x:f>'Sources'!B10</x:f>
        <x:v>9742.2</x:v>
      </x:c>
      <x:c r="E8" s="31" t="n">
        <x:f>'Sources'!B11</x:f>
        <x:v>0.7951518119490696</x:v>
      </x:c>
      <x:c r="F8" s="26"/>
      <x:c r="G8" s="26"/>
    </x:row>
    <x:row r="9" ht="30" customHeight="1">
      <x:c r="A9" s="29" t="str">
        <x:v>Gross profit／毛利</x:v>
      </x:c>
      <x:c r="B9" s="30" t="n">
        <x:f>'Sources'!B12</x:f>
        <x:v>2363.5</x:v>
      </x:c>
      <x:c r="C9" s="31" t="n">
        <x:f>'Sources'!B13</x:f>
        <x:v>0.21148563400950274</x:v>
      </x:c>
      <x:c r="D9" s="30" t="n">
        <x:f>'Sources'!B14</x:f>
        <x:v>2509.8</x:v>
      </x:c>
      <x:c r="E9" s="31" t="n">
        <x:f>'Sources'!B15</x:f>
        <x:v>0.20484818805093047</x:v>
      </x:c>
      <x:c r="F9" s="26"/>
      <x:c r="G9" s="26"/>
    </x:row>
    <x:row r="10" ht="30" customHeight="1">
      <x:c r="A10" s="29" t="str">
        <x:v>Operating expense／營業費用</x:v>
      </x:c>
      <x:c r="B10" s="30" t="n">
        <x:f>'Sources'!B16</x:f>
        <x:v>1581.9</x:v>
      </x:c>
      <x:c r="C10" s="31" t="n">
        <x:f>'Sources'!B17</x:f>
        <x:v>0.14154818042717682</x:v>
      </x:c>
      <x:c r="D10" s="30" t="n">
        <x:f>'Sources'!B18</x:f>
        <x:v>1705.2</x:v>
      </x:c>
      <x:c r="E10" s="31" t="n">
        <x:f>'Sources'!B19</x:f>
        <x:v>0.13917727717923606</x:v>
      </x:c>
      <x:c r="F10" s="26"/>
      <x:c r="G10" s="26"/>
    </x:row>
    <x:row r="11" ht="30" customHeight="1">
      <x:c r="A11" s="29" t="str">
        <x:v>Operating income／營業利益</x:v>
      </x:c>
      <x:c r="B11" s="30" t="n">
        <x:f>'Sources'!B20</x:f>
        <x:v>781.6</x:v>
      </x:c>
      <x:c r="C11" s="31" t="n">
        <x:f>'Sources'!B21</x:f>
        <x:v>0.06993745358232593</x:v>
      </x:c>
      <x:c r="D11" s="30" t="n">
        <x:f>'Sources'!B22</x:f>
        <x:v>804.6</x:v>
      </x:c>
      <x:c r="E11" s="31" t="n">
        <x:f>'Sources'!B23</x:f>
        <x:v>0.06567091087169442</x:v>
      </x:c>
      <x:c r="F11" s="26"/>
      <x:c r="G11" s="26"/>
    </x:row>
    <x:row r="12" ht="30" customHeight="1">
      <x:c r="A12" s="29" t="str">
        <x:v>Interest expense／利息費用</x:v>
      </x:c>
      <x:c r="B12" s="30" t="str">
        <x:f>'Sources'!B24</x:f>
        <x:v>缺少資料</x:v>
      </x:c>
      <x:c r="C12" s="31" t="str">
        <x:f>'Sources'!B25</x:f>
        <x:v>無法計算／待確認</x:v>
      </x:c>
      <x:c r="D12" s="30" t="str">
        <x:f>'Sources'!B26</x:f>
        <x:v>缺少資料</x:v>
      </x:c>
      <x:c r="E12" s="31" t="str">
        <x:f>'Sources'!B27</x:f>
        <x:v>無法計算／待確認</x:v>
      </x:c>
      <x:c r="F12" s="26"/>
      <x:c r="G12" s="26"/>
    </x:row>
    <x:row r="13" ht="30" customHeight="1">
      <x:c r="A13" s="29" t="str">
        <x:v>Income before taxes／稅前利益</x:v>
      </x:c>
      <x:c r="B13" s="30" t="n">
        <x:f>'Sources'!B28</x:f>
        <x:v>668.9</x:v>
      </x:c>
      <x:c r="C13" s="31" t="n">
        <x:f>'Sources'!B29</x:f>
        <x:v>0.0598530740803708</x:v>
      </x:c>
      <x:c r="D13" s="30" t="n">
        <x:f>'Sources'!B30</x:f>
        <x:v>691.9</x:v>
      </x:c>
      <x:c r="E13" s="31" t="n">
        <x:f>'Sources'!B31</x:f>
        <x:v>0.05647241266731962</x:v>
      </x:c>
      <x:c r="F13" s="26"/>
      <x:c r="G13" s="26"/>
    </x:row>
    <x:row r="14" ht="30" customHeight="1">
      <x:c r="A14" s="29" t="str">
        <x:v>Income tax expense／所得稅費用／利益</x:v>
      </x:c>
      <x:c r="B14" s="30" t="n">
        <x:f>'Sources'!B32</x:f>
        <x:v>172.8</x:v>
      </x:c>
      <x:c r="C14" s="31" t="n">
        <x:f>'Sources'!B33</x:f>
        <x:v>0.0154621187039738</x:v>
      </x:c>
      <x:c r="D14" s="30" t="n">
        <x:f>'Sources'!B34</x:f>
        <x:v>182.1</x:v>
      </x:c>
      <x:c r="E14" s="31" t="n">
        <x:f>'Sources'!B35</x:f>
        <x:v>0.014862879529872674</x:v>
      </x:c>
      <x:c r="F14" s="26"/>
      <x:c r="G14" s="26"/>
    </x:row>
    <x:row r="15" ht="30" customHeight="1">
      <x:c r="A15" s="29" t="str">
        <x:v>Net income／稅後淨利</x:v>
      </x:c>
      <x:c r="B15" s="30" t="n">
        <x:f>'Sources'!B36</x:f>
        <x:v>496.1</x:v>
      </x:c>
      <x:c r="C15" s="31" t="n">
        <x:f>'Sources'!B37</x:f>
        <x:v>0.04439095537639701</x:v>
      </x:c>
      <x:c r="D15" s="30" t="n">
        <x:f>'Sources'!B38</x:f>
        <x:v>509.8</x:v>
      </x:c>
      <x:c r="E15" s="31" t="n">
        <x:f>'Sources'!B39</x:f>
        <x:v>0.04160953313744695</x:v>
      </x:c>
      <x:c r="F15" s="26"/>
      <x:c r="G15" s="26"/>
    </x:row>
    <x:row r="16">
      <x:c r="A16" s="26"/>
      <x:c r="B16" s="26"/>
      <x:c r="C16" s="26"/>
      <x:c r="D16" s="26"/>
      <x:c r="E16" s="26"/>
      <x:c r="F16" s="26"/>
      <x:c r="G16" s="26"/>
    </x:row>
    <x:row r="17">
      <x:c r="A17" s="26"/>
      <x:c r="B17" s="26"/>
      <x:c r="C17" s="26"/>
      <x:c r="D17" s="26"/>
      <x:c r="E17" s="26"/>
      <x:c r="F17" s="26"/>
      <x:c r="G17" s="26"/>
    </x:row>
    <x:row r="18">
      <x:c r="A18" s="27" t="str">
        <x:v>Ratios YTD</x:v>
      </x:c>
      <x:c r="B18" s="26"/>
      <x:c r="C18" s="26"/>
      <x:c r="D18" s="26"/>
      <x:c r="E18" s="26"/>
      <x:c r="F18" s="26"/>
      <x:c r="G18" s="26"/>
    </x:row>
    <x:row r="19" ht="36" customHeight="1">
      <x:c r="A19" s="28" t="str">
        <x:v>科目</x:v>
      </x:c>
      <x:c r="B19" s="28" t="str">
        <x:v>FY2024</x:v>
      </x:c>
      <x:c r="C19" s="28" t="str">
        <x:v>FY2025 Q2 YTD</x:v>
      </x:c>
      <x:c r="D19" s="28" t="str">
        <x:v>FY2025</x:v>
      </x:c>
      <x:c r="E19" s="28" t="str">
        <x:v>FY2026 Q2 YTD</x:v>
      </x:c>
      <x:c r="F19" s="26"/>
      <x:c r="G19" s="26"/>
    </x:row>
    <x:row r="20" ht="30" customHeight="1">
      <x:c r="A20" s="29" t="str">
        <x:v>Current ratio／流動比率</x:v>
      </x:c>
      <x:c r="B20" s="31" t="n">
        <x:f>'Sources'!B40</x:f>
        <x:v>1.3468325295922843</x:v>
      </x:c>
      <x:c r="C20" s="31" t="n">
        <x:f>'Sources'!B41</x:f>
        <x:v>1.3497941678006098</x:v>
      </x:c>
      <x:c r="D20" s="31" t="n">
        <x:f>'Sources'!B42</x:f>
        <x:v>1.1763606924897247</x:v>
      </x:c>
      <x:c r="E20" s="31" t="n">
        <x:f>'Sources'!B43</x:f>
        <x:v>1.1668313967503978</x:v>
      </x:c>
      <x:c r="F20" s="26"/>
      <x:c r="G20" s="26"/>
    </x:row>
    <x:row r="21" ht="30" customHeight="1">
      <x:c r="A21" s="29" t="str">
        <x:v>Quick ratio／速動比率</x:v>
      </x:c>
      <x:c r="B21" s="31" t="str">
        <x:f>'Sources'!B44</x:f>
        <x:v>無法計算／待確認</x:v>
      </x:c>
      <x:c r="C21" s="31" t="str">
        <x:f>'Sources'!B45</x:f>
        <x:v>無法計算／待確認</x:v>
      </x:c>
      <x:c r="D21" s="31" t="str">
        <x:f>'Sources'!B46</x:f>
        <x:v>無法計算／待確認</x:v>
      </x:c>
      <x:c r="E21" s="31" t="str">
        <x:f>'Sources'!B47</x:f>
        <x:v>無法計算／待確認</x:v>
      </x:c>
      <x:c r="F21" s="26"/>
      <x:c r="G21" s="26"/>
    </x:row>
    <x:row r="22" ht="30" customHeight="1">
      <x:c r="A22" s="29" t="str">
        <x:v>Debt ratio／負債比率</x:v>
      </x:c>
      <x:c r="B22" s="31" t="n">
        <x:f>'Sources'!B48</x:f>
        <x:v>5.2389594933480685</x:v>
      </x:c>
      <x:c r="C22" s="31" t="n">
        <x:f>'Sources'!B49</x:f>
        <x:v>5.1874594682230875</x:v>
      </x:c>
      <x:c r="D22" s="31" t="n">
        <x:f>'Sources'!B50</x:f>
        <x:v>5.150262844863973</x:v>
      </x:c>
      <x:c r="E22" s="31" t="n">
        <x:f>'Sources'!B51</x:f>
        <x:v>6.065558330944679</x:v>
      </x:c>
      <x:c r="F22" s="26"/>
      <x:c r="G22" s="26"/>
    </x:row>
    <x:row r="23">
      <x:c r="A23" s="26"/>
      <x:c r="B23" s="26"/>
      <x:c r="C23" s="26"/>
      <x:c r="D23" s="26"/>
      <x:c r="E23" s="26"/>
      <x:c r="F23" s="26"/>
      <x:c r="G23" s="26"/>
    </x:row>
    <x:row r="24">
      <x:c r="A24" s="26"/>
      <x:c r="B24" s="26"/>
      <x:c r="C24" s="26"/>
      <x:c r="D24" s="26"/>
      <x:c r="E24" s="26"/>
      <x:c r="F24" s="26"/>
      <x:c r="G24" s="26"/>
    </x:row>
    <x:row r="25">
      <x:c r="A25" s="27" t="str">
        <x:v>Leverage Analysis YTD</x:v>
      </x:c>
      <x:c r="B25" s="26"/>
      <x:c r="C25" s="26"/>
      <x:c r="D25" s="26"/>
      <x:c r="E25" s="26"/>
      <x:c r="F25" s="26"/>
      <x:c r="G25" s="26"/>
    </x:row>
    <x:row r="26" ht="36" customHeight="1">
      <x:c r="A26" s="28" t="str">
        <x:v>科目</x:v>
      </x:c>
      <x:c r="B26" s="28" t="str">
        <x:v>FY2024</x:v>
      </x:c>
      <x:c r="C26" s="28" t="str">
        <x:v>FY2025 Q2 YTD</x:v>
      </x:c>
      <x:c r="D26" s="28" t="str">
        <x:v>FY2025</x:v>
      </x:c>
      <x:c r="E26" s="28" t="str">
        <x:v>FY2026 Q2 YTD</x:v>
      </x:c>
      <x:c r="F26" s="26"/>
      <x:c r="G26" s="26"/>
    </x:row>
    <x:row r="27" ht="30" customHeight="1">
      <x:c r="A27" s="29" t="str">
        <x:v>Total debt／總債務</x:v>
      </x:c>
      <x:c r="B27" s="30" t="n">
        <x:f>'Sources'!B52</x:f>
        <x:v>5875.6</x:v>
      </x:c>
      <x:c r="C27" s="30" t="n">
        <x:f>'Sources'!B53</x:f>
        <x:v>5661.6</x:v>
      </x:c>
      <x:c r="D27" s="30" t="n">
        <x:f>'Sources'!B54</x:f>
        <x:v>5655.3</x:v>
      </x:c>
      <x:c r="E27" s="30" t="n">
        <x:f>'Sources'!B55</x:f>
        <x:v>5900.9</x:v>
      </x:c>
      <x:c r="F27" s="26"/>
      <x:c r="G27" s="26"/>
    </x:row>
    <x:row r="28" ht="30" customHeight="1">
      <x:c r="A28" s="29" t="str">
        <x:v>LTM EBITDA／最近完整年度 EBITDA</x:v>
      </x:c>
      <x:c r="B28" s="30" t="str">
        <x:f>'Sources'!B56</x:f>
        <x:v>無法計算／待確認</x:v>
      </x:c>
      <x:c r="C28" s="30" t="str">
        <x:f>'Sources'!B57</x:f>
        <x:v>無法計算／待確認</x:v>
      </x:c>
      <x:c r="D28" s="30" t="str">
        <x:f>'Sources'!B58</x:f>
        <x:v>無法計算／待確認</x:v>
      </x:c>
      <x:c r="E28" s="30" t="str">
        <x:f>'Sources'!B59</x:f>
        <x:v>無法計算／待確認</x:v>
      </x:c>
      <x:c r="F28" s="26"/>
      <x:c r="G28" s="26"/>
    </x:row>
    <x:row r="29" ht="80" customHeight="1">
      <x:c r="A29" s="29" t="str">
        <x:v>EBITDA basis／EBITDA 計算口徑</x:v>
      </x:c>
      <x:c r="B29" s="30" t="str">
        <x:f>'Sources'!B60</x:f>
        <x:v>缺少資料</x:v>
      </x:c>
      <x:c r="C29" s="30" t="str">
        <x:f>'Sources'!B61</x:f>
        <x:v>缺少資料</x:v>
      </x:c>
      <x:c r="D29" s="30" t="str">
        <x:f>'Sources'!B62</x:f>
        <x:v>缺少資料</x:v>
      </x:c>
      <x:c r="E29" s="30" t="str">
        <x:f>'Sources'!B63</x:f>
        <x:v>缺少資料</x:v>
      </x:c>
      <x:c r="F29" s="26"/>
      <x:c r="G29" s="26"/>
    </x:row>
    <x:row r="30" ht="30" customHeight="1">
      <x:c r="A30" s="29" t="str">
        <x:v>Total leverage ratio／總槓桿倍數</x:v>
      </x:c>
      <x:c r="B30" s="32" t="str">
        <x:f>'Sources'!B64</x:f>
        <x:v>無法計算／待確認</x:v>
      </x:c>
      <x:c r="C30" s="32" t="str">
        <x:f>'Sources'!B65</x:f>
        <x:v>無法計算／待確認</x:v>
      </x:c>
      <x:c r="D30" s="32" t="str">
        <x:f>'Sources'!B66</x:f>
        <x:v>無法計算／待確認</x:v>
      </x:c>
      <x:c r="E30" s="32" t="str">
        <x:f>'Sources'!B67</x:f>
        <x:v>無法計算／待確認</x:v>
      </x:c>
      <x:c r="F30" s="26"/>
      <x:c r="G30" s="26"/>
    </x:row>
    <x:row r="31">
      <x:c r="A31" s="26"/>
      <x:c r="B31" s="26"/>
      <x:c r="C31" s="26"/>
      <x:c r="D31" s="26"/>
      <x:c r="E31" s="26"/>
      <x:c r="F31" s="26"/>
      <x:c r="G31" s="26"/>
    </x:row>
    <x:row r="32">
      <x:c r="A32" s="26"/>
      <x:c r="B32" s="26"/>
      <x:c r="C32" s="26"/>
      <x:c r="D32" s="26"/>
      <x:c r="E32" s="26"/>
      <x:c r="F32" s="26"/>
      <x:c r="G32" s="26"/>
    </x:row>
    <x:row r="33">
      <x:c r="A33" s="26"/>
      <x:c r="B33" s="26"/>
      <x:c r="C33" s="26"/>
      <x:c r="D33" s="26"/>
      <x:c r="E33" s="26"/>
      <x:c r="F33" s="26"/>
      <x:c r="G33" s="26"/>
    </x:row>
  </x:sheetData>
  <x:mergeCells>
    <x:mergeCell ref="A1:G1"/>
    <x:mergeCell ref="A3:G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CDW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12" customHeight="1">
      <x:c r="A4" s="26" t="str">
        <x:v>revenue:prior_interim</x:v>
      </x:c>
      <x:c r="B4" s="38" t="n">
        <x:f>IF(AND(ISNUMBER(C4),ISNUMBER(D4)),C4*D4/1000000,"缺少資料")</x:f>
        <x:v>11175.7</x:v>
      </x:c>
      <x:c r="C4" s="39" t="n">
        <x:v>11175700000</x:v>
      </x:c>
      <x:c r="D4" s="39" t="n">
        <x:v>1</x:v>
      </x:c>
      <x:c r="E4" s="26" t="str">
        <x:v>sourced</x:v>
      </x:c>
      <x:c r="F4" s="29" t="str">
        <x:v>RevenueFromContractWithCustomerExcludingAssessedTax</x:v>
      </x:c>
      <x:c r="G4" s="29" t="str">
        <x:v>{"entry": {"accn": "0001402057-25-000145", "end": "2025-06-30", "filed": "2025-08-06", "form": "10-Q", "fp": "Q2", "fy": 2025, "start": "2025-01-01", "val": 11175700000}, "namespace": "us-gaap", "tag": "RevenueFromContractWithCustomerExcludingAssessedTax", "unit": "USD"}; {"entry": {"accn": "0001402057-26-000065", "end": "2025-06-30", "filed": "2026-08-05", "form": "10-Q", "fp": "Q2", "fy": 2026, "start": "2025-01-01", "val": 11175700000}, "namespace": "us-gaap", "tag": "RevenueFromContractWithCustomerExcludingAssessedTax", "unit": "USD"}</x:v>
      </x:c>
    </x:row>
    <x:row r="5" ht="30" customHeight="1">
      <x:c r="A5" s="26" t="str">
        <x:v>revenue:pct:prior_interim</x:v>
      </x:c>
      <x:c r="B5" s="40" t="n">
        <x:f>IF(AND(ISNUMBER(B4),ISNUMBER(B4)),IF(B4=0,"無法計算",B4/B4),"缺少資料")</x:f>
        <x:v>1</x:v>
      </x:c>
      <x:c r="C5" s="39"/>
      <x:c r="D5" s="39"/>
      <x:c r="E5" s="26" t="str">
        <x:v>calculated</x:v>
      </x:c>
      <x:c r="F5" s="29" t="str">
        <x:v>revenue / revenue</x:v>
      </x:c>
      <x:c r="G5" s="29" t="str"/>
    </x:row>
    <x:row r="6" ht="56" customHeight="1">
      <x:c r="A6" s="26" t="str">
        <x:v>revenue:current_interim</x:v>
      </x:c>
      <x:c r="B6" s="38" t="n">
        <x:f>IF(AND(ISNUMBER(C6),ISNUMBER(D6)),C6*D6/1000000,"缺少資料")</x:f>
        <x:v>12252</x:v>
      </x:c>
      <x:c r="C6" s="39" t="n">
        <x:v>12252000000</x:v>
      </x:c>
      <x:c r="D6" s="39" t="n">
        <x:v>1</x:v>
      </x:c>
      <x:c r="E6" s="26" t="str">
        <x:v>sourced</x:v>
      </x:c>
      <x:c r="F6" s="29" t="str">
        <x:v>RevenueFromContractWithCustomerExcludingAssessedTax</x:v>
      </x:c>
      <x:c r="G6" s="29" t="str">
        <x:v>{"entry": {"accn": "0001402057-26-000065", "end": "2026-06-30", "filed": "2026-08-05", "form": "10-Q", "fp": "Q2", "fy": 2026, "start": "2026-01-01", "val": 12252000000}, "namespace": "us-gaap", "tag": "RevenueFromContractWithCustomerExcludingAssessedTax", "unit": "USD"}</x:v>
      </x:c>
    </x:row>
    <x:row r="7" ht="30" customHeight="1">
      <x:c r="A7" s="26" t="str">
        <x:v>revenue:pct:current_interim</x:v>
      </x:c>
      <x:c r="B7" s="40" t="n">
        <x:f>IF(AND(ISNUMBER(B6),ISNUMBER(B6)),IF(B6=0,"無法計算",B6/B6),"缺少資料")</x:f>
        <x:v>1</x:v>
      </x:c>
      <x:c r="C7" s="39"/>
      <x:c r="D7" s="39"/>
      <x:c r="E7" s="26" t="str">
        <x:v>calculated</x:v>
      </x:c>
      <x:c r="F7" s="29" t="str">
        <x:v>revenue / revenue</x:v>
      </x:c>
      <x:c r="G7" s="29" t="str"/>
    </x:row>
    <x:row r="8" ht="98" customHeight="1">
      <x:c r="A8" s="26" t="str">
        <x:v>cost_of_revenue:prior_interim</x:v>
      </x:c>
      <x:c r="B8" s="38" t="n">
        <x:f>IF(AND(ISNUMBER(C8),ISNUMBER(D8)),C8*D8/1000000,"缺少資料")</x:f>
        <x:v>8812.2</x:v>
      </x:c>
      <x:c r="C8" s="39" t="n">
        <x:v>8812200000</x:v>
      </x:c>
      <x:c r="D8" s="39" t="n">
        <x:v>1</x:v>
      </x:c>
      <x:c r="E8" s="26" t="str">
        <x:v>sourced</x:v>
      </x:c>
      <x:c r="F8" s="29" t="str">
        <x:v>CostOfGoodsAndServicesSold</x:v>
      </x:c>
      <x:c r="G8" s="29" t="str">
        <x:v>{"entry": {"accn": "0001402057-26-000065", "end": "2025-06-30", "filed": "2026-08-05", "form": "10-Q", "fp": "Q2", "fy": 2026, "start": "2025-01-01", "val": 8812200000}, "namespace": "us-gaap", "tag": "CostOfGoodsAndServicesSold", "unit": "USD"}; {"entry": {"accn": "0001402057-25-000145", "end": "2025-06-30", "filed": "2025-08-06", "form": "10-Q", "fp": "Q2", "fy": 2025, "start": "2025-01-01", "val": 8812200000}, "namespace": "us-gaap", "tag": "CostOfGoodsAndServicesSold", "unit": "USD"}</x:v>
      </x:c>
    </x:row>
    <x:row r="9" ht="30" customHeight="1">
      <x:c r="A9" s="26" t="str">
        <x:v>cost_of_revenue:pct:prior_interim</x:v>
      </x:c>
      <x:c r="B9" s="40" t="n">
        <x:f>IF(AND(ISNUMBER(B8),ISNUMBER(B4)),IF(B4=0,"無法計算",B8/B4),"缺少資料")</x:f>
        <x:v>0.7885143659904973</x:v>
      </x:c>
      <x:c r="C9" s="39"/>
      <x:c r="D9" s="39"/>
      <x:c r="E9" s="26" t="str">
        <x:v>calculated</x:v>
      </x:c>
      <x:c r="F9" s="29" t="str">
        <x:v>cost_of_revenue / revenue</x:v>
      </x:c>
      <x:c r="G9" s="29" t="str"/>
    </x:row>
    <x:row r="10" ht="56" customHeight="1">
      <x:c r="A10" s="26" t="str">
        <x:v>cost_of_revenue:current_interim</x:v>
      </x:c>
      <x:c r="B10" s="38" t="n">
        <x:f>IF(AND(ISNUMBER(C10),ISNUMBER(D10)),C10*D10/1000000,"缺少資料")</x:f>
        <x:v>9742.2</x:v>
      </x:c>
      <x:c r="C10" s="39" t="n">
        <x:v>9742200000</x:v>
      </x:c>
      <x:c r="D10" s="39" t="n">
        <x:v>1</x:v>
      </x:c>
      <x:c r="E10" s="26" t="str">
        <x:v>sourced</x:v>
      </x:c>
      <x:c r="F10" s="29" t="str">
        <x:v>CostOfGoodsAndServicesSold</x:v>
      </x:c>
      <x:c r="G10" s="29" t="str">
        <x:v>{"entry": {"accn": "0001402057-26-000065", "end": "2026-06-30", "filed": "2026-08-05", "form": "10-Q", "fp": "Q2", "fy": 2026, "start": "2026-01-01", "val": 9742200000}, "namespace": "us-gaap", "tag": "CostOfGoodsAndServicesSold", "unit": "USD"}</x:v>
      </x:c>
    </x:row>
    <x:row r="11" ht="30" customHeight="1">
      <x:c r="A11" s="26" t="str">
        <x:v>cost_of_revenue:pct:current_interim</x:v>
      </x:c>
      <x:c r="B11" s="40" t="n">
        <x:f>IF(AND(ISNUMBER(B10),ISNUMBER(B6)),IF(B6=0,"無法計算",B10/B6),"缺少資料")</x:f>
        <x:v>0.7951518119490696</x:v>
      </x:c>
      <x:c r="C11" s="39"/>
      <x:c r="D11" s="39"/>
      <x:c r="E11" s="26" t="str">
        <x:v>calculated</x:v>
      </x:c>
      <x:c r="F11" s="29" t="str">
        <x:v>cost_of_revenue / revenue</x:v>
      </x:c>
      <x:c r="G11" s="29" t="str"/>
    </x:row>
    <x:row r="12" ht="98" customHeight="1">
      <x:c r="A12" s="26" t="str">
        <x:v>gross_profit:prior_interim</x:v>
      </x:c>
      <x:c r="B12" s="38" t="n">
        <x:f>IF(AND(ISNUMBER(C12),ISNUMBER(D12)),C12*D12/1000000,"缺少資料")</x:f>
        <x:v>2363.5</x:v>
      </x:c>
      <x:c r="C12" s="39" t="n">
        <x:v>2363500000</x:v>
      </x:c>
      <x:c r="D12" s="39" t="n">
        <x:v>1</x:v>
      </x:c>
      <x:c r="E12" s="26" t="str">
        <x:v>sourced</x:v>
      </x:c>
      <x:c r="F12" s="29" t="str">
        <x:v>GrossProfit</x:v>
      </x:c>
      <x:c r="G12" s="29" t="str">
        <x:v>{"entry": {"accn": "0001402057-26-000065", "end": "2025-06-30", "filed": "2026-08-05", "form": "10-Q", "fp": "Q2", "fy": 2026, "start": "2025-01-01", "val": 2363500000}, "namespace": "us-gaap", "tag": "GrossProfit", "unit": "USD"}; {"entry": {"accn": "0001402057-25-000145", "end": "2025-06-30", "filed": "2025-08-06", "form": "10-Q", "fp": "Q2", "fy": 2025, "start": "2025-01-01", "val": 2363500000}, "namespace": "us-gaap", "tag": "GrossProfit", "unit": "USD"}</x:v>
      </x:c>
    </x:row>
    <x:row r="13" ht="30" customHeight="1">
      <x:c r="A13" s="26" t="str">
        <x:v>gross_profit:pct:prior_interim</x:v>
      </x:c>
      <x:c r="B13" s="40" t="n">
        <x:f>IF(AND(ISNUMBER(B12),ISNUMBER(B4)),IF(B4=0,"無法計算",B12/B4),"缺少資料")</x:f>
        <x:v>0.21148563400950274</x:v>
      </x:c>
      <x:c r="C13" s="39"/>
      <x:c r="D13" s="39"/>
      <x:c r="E13" s="26" t="str">
        <x:v>calculated</x:v>
      </x:c>
      <x:c r="F13" s="29" t="str">
        <x:v>gross_profit / revenue</x:v>
      </x:c>
      <x:c r="G13" s="29" t="str"/>
    </x:row>
    <x:row r="14" ht="56" customHeight="1">
      <x:c r="A14" s="26" t="str">
        <x:v>gross_profit:current_interim</x:v>
      </x:c>
      <x:c r="B14" s="38" t="n">
        <x:f>IF(AND(ISNUMBER(C14),ISNUMBER(D14)),C14*D14/1000000,"缺少資料")</x:f>
        <x:v>2509.8</x:v>
      </x:c>
      <x:c r="C14" s="39" t="n">
        <x:v>2509800000</x:v>
      </x:c>
      <x:c r="D14" s="39" t="n">
        <x:v>1</x:v>
      </x:c>
      <x:c r="E14" s="26" t="str">
        <x:v>sourced</x:v>
      </x:c>
      <x:c r="F14" s="29" t="str">
        <x:v>GrossProfit</x:v>
      </x:c>
      <x:c r="G14" s="29" t="str">
        <x:v>{"entry": {"accn": "0001402057-26-000065", "end": "2026-06-30", "filed": "2026-08-05", "form": "10-Q", "fp": "Q2", "fy": 2026, "start": "2026-01-01", "val": 2509800000}, "namespace": "us-gaap", "tag": "GrossProfit", "unit": "USD"}</x:v>
      </x:c>
    </x:row>
    <x:row r="15" ht="30" customHeight="1">
      <x:c r="A15" s="26" t="str">
        <x:v>gross_profit:pct:current_interim</x:v>
      </x:c>
      <x:c r="B15" s="40" t="n">
        <x:f>IF(AND(ISNUMBER(B14),ISNUMBER(B6)),IF(B6=0,"無法計算",B14/B6),"缺少資料")</x:f>
        <x:v>0.20484818805093047</x:v>
      </x:c>
      <x:c r="C15" s="39"/>
      <x:c r="D15" s="39"/>
      <x:c r="E15" s="26" t="str">
        <x:v>calculated</x:v>
      </x:c>
      <x:c r="F15" s="29" t="str">
        <x:v>gross_profit / revenue</x:v>
      </x:c>
      <x:c r="G15" s="29" t="str"/>
    </x:row>
    <x:row r="16" ht="30" customHeight="1">
      <x:c r="A16" s="26" t="str">
        <x:v>operating_expense:prior_interim</x:v>
      </x:c>
      <x:c r="B16" s="38" t="n">
        <x:f>IF(AND(ISNUMBER(C16),ISNUMBER(D16)),C16*D16/1000000,"缺少資料")</x:f>
        <x:v>1581.9</x:v>
      </x:c>
      <x:c r="C16" s="39" t="n">
        <x:v>1581900000</x:v>
      </x:c>
      <x:c r="D16" s="39" t="n">
        <x:v>1</x:v>
      </x:c>
      <x:c r="E16" s="26" t="str">
        <x:v>sourced</x:v>
      </x:c>
      <x:c r="F16" s="29" t="str">
        <x:v>Operating expense excluding cost of revenue; verified scope</x:v>
      </x:c>
      <x:c r="G16" s="29" t="str">
        <x:v>Consolidated statements of operations, Selling and administrative expenses; verified gross profit minus S&amp;A equals operating income</x:v>
      </x:c>
    </x:row>
    <x:row r="17" ht="30" customHeight="1">
      <x:c r="A17" s="26" t="str">
        <x:v>operating_expense:pct:prior_interim</x:v>
      </x:c>
      <x:c r="B17" s="40" t="n">
        <x:f>IF(AND(ISNUMBER(B16),ISNUMBER(B4)),IF(B4=0,"無法計算",B16/B4),"缺少資料")</x:f>
        <x:v>0.14154818042717682</x:v>
      </x:c>
      <x:c r="C17" s="39"/>
      <x:c r="D17" s="39"/>
      <x:c r="E17" s="26" t="str">
        <x:v>calculated</x:v>
      </x:c>
      <x:c r="F17" s="29" t="str">
        <x:v>operating_expense / revenue</x:v>
      </x:c>
      <x:c r="G17" s="29" t="str"/>
    </x:row>
    <x:row r="18" ht="30" customHeight="1">
      <x:c r="A18" s="26" t="str">
        <x:v>operating_expense:current_interim</x:v>
      </x:c>
      <x:c r="B18" s="38" t="n">
        <x:f>IF(AND(ISNUMBER(C18),ISNUMBER(D18)),C18*D18/1000000,"缺少資料")</x:f>
        <x:v>1705.2</x:v>
      </x:c>
      <x:c r="C18" s="39" t="n">
        <x:v>1705200000</x:v>
      </x:c>
      <x:c r="D18" s="39" t="n">
        <x:v>1</x:v>
      </x:c>
      <x:c r="E18" s="26" t="str">
        <x:v>sourced</x:v>
      </x:c>
      <x:c r="F18" s="29" t="str">
        <x:v>Operating expense excluding cost of revenue; verified scope</x:v>
      </x:c>
      <x:c r="G18" s="29" t="str">
        <x:v>Consolidated statements of operations, Selling and administrative expenses; verified gross profit minus S&amp;A equals operating income</x:v>
      </x:c>
    </x:row>
    <x:row r="19" ht="30" customHeight="1">
      <x:c r="A19" s="26" t="str">
        <x:v>operating_expense:pct:current_interim</x:v>
      </x:c>
      <x:c r="B19" s="40" t="n">
        <x:f>IF(AND(ISNUMBER(B18),ISNUMBER(B6)),IF(B6=0,"無法計算",B18/B6),"缺少資料")</x:f>
        <x:v>0.13917727717923606</x:v>
      </x:c>
      <x:c r="C19" s="39"/>
      <x:c r="D19" s="39"/>
      <x:c r="E19" s="26" t="str">
        <x:v>calculated</x:v>
      </x:c>
      <x:c r="F19" s="29" t="str">
        <x:v>operating_expense / revenue</x:v>
      </x:c>
      <x:c r="G19" s="29" t="str"/>
    </x:row>
    <x:row r="20" ht="98" customHeight="1">
      <x:c r="A20" s="26" t="str">
        <x:v>operating_income:prior_interim</x:v>
      </x:c>
      <x:c r="B20" s="38" t="n">
        <x:f>IF(AND(ISNUMBER(C20),ISNUMBER(D20)),C20*D20/1000000,"缺少資料")</x:f>
        <x:v>781.6</x:v>
      </x:c>
      <x:c r="C20" s="39" t="n">
        <x:v>781600000</x:v>
      </x:c>
      <x:c r="D20" s="39" t="n">
        <x:v>1</x:v>
      </x:c>
      <x:c r="E20" s="26" t="str">
        <x:v>sourced</x:v>
      </x:c>
      <x:c r="F20" s="29" t="str">
        <x:v>OperatingIncomeLoss</x:v>
      </x:c>
      <x:c r="G20" s="29" t="str">
        <x:v>{"entry": {"accn": "0001402057-26-000065", "end": "2025-06-30", "filed": "2026-08-05", "form": "10-Q", "fp": "Q2", "fy": 2026, "start": "2025-01-01", "val": 781600000}, "namespace": "us-gaap", "tag": "OperatingIncomeLoss", "unit": "USD"}; {"entry": {"accn": "0001402057-25-000145", "end": "2025-06-30", "filed": "2025-08-06", "form": "10-Q", "fp": "Q2", "fy": 2025, "start": "2025-01-01", "val": 781600000}, "namespace": "us-gaap", "tag": "OperatingIncomeLoss", "unit": "USD"}</x:v>
      </x:c>
    </x:row>
    <x:row r="21" ht="30" customHeight="1">
      <x:c r="A21" s="26" t="str">
        <x:v>operating_income:pct:prior_interim</x:v>
      </x:c>
      <x:c r="B21" s="40" t="n">
        <x:f>IF(AND(ISNUMBER(B20),ISNUMBER(B4)),IF(B4=0,"無法計算",B20/B4),"缺少資料")</x:f>
        <x:v>0.06993745358232593</x:v>
      </x:c>
      <x:c r="C21" s="39"/>
      <x:c r="D21" s="39"/>
      <x:c r="E21" s="26" t="str">
        <x:v>calculated</x:v>
      </x:c>
      <x:c r="F21" s="29" t="str">
        <x:v>operating_income / revenue</x:v>
      </x:c>
      <x:c r="G21" s="29" t="str"/>
    </x:row>
    <x:row r="22" ht="56" customHeight="1">
      <x:c r="A22" s="26" t="str">
        <x:v>operating_income:current_interim</x:v>
      </x:c>
      <x:c r="B22" s="38" t="n">
        <x:f>IF(AND(ISNUMBER(C22),ISNUMBER(D22)),C22*D22/1000000,"缺少資料")</x:f>
        <x:v>804.6</x:v>
      </x:c>
      <x:c r="C22" s="39" t="n">
        <x:v>804600000</x:v>
      </x:c>
      <x:c r="D22" s="39" t="n">
        <x:v>1</x:v>
      </x:c>
      <x:c r="E22" s="26" t="str">
        <x:v>sourced</x:v>
      </x:c>
      <x:c r="F22" s="29" t="str">
        <x:v>OperatingIncomeLoss</x:v>
      </x:c>
      <x:c r="G22" s="29" t="str">
        <x:v>{"entry": {"accn": "0001402057-26-000065", "end": "2026-06-30", "filed": "2026-08-05", "form": "10-Q", "fp": "Q2", "fy": 2026, "start": "2026-01-01", "val": 804600000}, "namespace": "us-gaap", "tag": "OperatingIncomeLoss", "unit": "USD"}</x:v>
      </x:c>
    </x:row>
    <x:row r="23" ht="30" customHeight="1">
      <x:c r="A23" s="26" t="str">
        <x:v>operating_income:pct:current_interim</x:v>
      </x:c>
      <x:c r="B23" s="40" t="n">
        <x:f>IF(AND(ISNUMBER(B22),ISNUMBER(B6)),IF(B6=0,"無法計算",B22/B6),"缺少資料")</x:f>
        <x:v>0.06567091087169442</x:v>
      </x:c>
      <x:c r="C23" s="39"/>
      <x:c r="D23" s="39"/>
      <x:c r="E23" s="26" t="str">
        <x:v>calculated</x:v>
      </x:c>
      <x:c r="F23" s="29" t="str">
        <x:v>operating_income / revenue</x:v>
      </x:c>
      <x:c r="G23" s="29" t="str"/>
    </x:row>
    <x:row r="24" ht="30" customHeight="1">
      <x:c r="A24" s="26" t="str">
        <x:v>interest_expense:prior_interim</x:v>
      </x:c>
      <x:c r="B24" s="38" t="str">
        <x:v>缺少資料</x:v>
      </x:c>
      <x:c r="C24" s="39"/>
      <x:c r="D24" s="39"/>
      <x:c r="E24" s="26" t="str">
        <x:v>缺少資料</x:v>
      </x:c>
      <x:c r="F24" s="29" t="str">
        <x:v>No matching source in the reviewed inputs; not a claim of non-disclosure</x:v>
      </x:c>
      <x:c r="G24" s="29" t="str"/>
    </x:row>
    <x:row r="25" ht="30" customHeight="1">
      <x:c r="A25" s="26" t="str">
        <x:v>interest_expense:pct:prior_interim</x:v>
      </x:c>
      <x:c r="B25" s="40" t="str">
        <x:v>無法計算／待確認</x:v>
      </x:c>
      <x:c r="C25" s="39"/>
      <x:c r="D25" s="39"/>
      <x:c r="E25" s="26" t="str">
        <x:v>無法計算／待確認</x:v>
      </x:c>
      <x:c r="F25" s="29" t="str">
        <x:v>Required inputs unavailable</x:v>
      </x:c>
      <x:c r="G25" s="29" t="str"/>
    </x:row>
    <x:row r="26" ht="30" customHeight="1">
      <x:c r="A26" s="26" t="str">
        <x:v>interest_expense:current_interim</x:v>
      </x:c>
      <x:c r="B26" s="38" t="str">
        <x:v>缺少資料</x:v>
      </x:c>
      <x:c r="C26" s="39"/>
      <x:c r="D26" s="39"/>
      <x:c r="E26" s="26" t="str">
        <x:v>缺少資料</x:v>
      </x:c>
      <x:c r="F26" s="29" t="str">
        <x:v>No matching source in the reviewed inputs; not a claim of non-disclosure</x:v>
      </x:c>
      <x:c r="G26" s="29" t="str"/>
    </x:row>
    <x:row r="27" ht="30" customHeight="1">
      <x:c r="A27" s="26" t="str">
        <x:v>interest_expense:pct:current_interim</x:v>
      </x:c>
      <x:c r="B27" s="40" t="str">
        <x:v>無法計算／待確認</x:v>
      </x:c>
      <x:c r="C27" s="39"/>
      <x:c r="D27" s="39"/>
      <x:c r="E27" s="26" t="str">
        <x:v>無法計算／待確認</x:v>
      </x:c>
      <x:c r="F27" s="29" t="str">
        <x:v>Required inputs unavailable</x:v>
      </x:c>
      <x:c r="G27" s="29" t="str"/>
    </x:row>
    <x:row r="28" ht="126" customHeight="1">
      <x:c r="A28" s="26" t="str">
        <x:v>pretax_profit:prior_interim</x:v>
      </x:c>
      <x:c r="B28" s="38" t="n">
        <x:f>IF(AND(ISNUMBER(C28),ISNUMBER(D28)),C28*D28/1000000,"缺少資料")</x:f>
        <x:v>668.9</x:v>
      </x:c>
      <x:c r="C28" s="39" t="n">
        <x:v>668900000</x:v>
      </x:c>
      <x:c r="D28" s="39" t="n">
        <x:v>1</x:v>
      </x:c>
      <x:c r="E28" s="26" t="str">
        <x:v>sourced</x:v>
      </x:c>
      <x:c r="F28" s="29" t="str">
        <x:v>IncomeLossFromContinuingOperationsBeforeIncomeTaxesExtraordinaryItemsNoncontrollingInterest</x:v>
      </x:c>
      <x:c r="G28" s="29" t="str">
        <x:v>{"entry": {"accn": "0001402057-26-000065", "end": "2025-06-30", "filed": "2026-08-05", "form": "10-Q", "fp": "Q2", "fy": 2026, "start": "2025-01-01", "val": 668900000}, "namespace": "us-gaap", "tag": "IncomeLossFromContinuingOperationsBeforeIncomeTaxesExtraordinaryItemsNoncontrollingInterest", "unit": "USD"}; {"entry": {"accn": "0001402057-25-000145", "end": "2025-06-30", "filed": "2025-08-06", "form": "10-Q", "fp": "Q2", "fy": 2025, "start": "2025-01-01", "val": 668900000}, "namespace": "us-gaap", "tag": "IncomeLossFromContinuingOperationsBeforeIncomeTaxesExtraordinaryItemsNoncontrollingInterest", "unit": "USD"}</x:v>
      </x:c>
    </x:row>
    <x:row r="29" ht="30" customHeight="1">
      <x:c r="A29" s="26" t="str">
        <x:v>pretax_profit:pct:prior_interim</x:v>
      </x:c>
      <x:c r="B29" s="40" t="n">
        <x:f>IF(AND(ISNUMBER(B28),ISNUMBER(B4)),IF(B4=0,"無法計算",B28/B4),"缺少資料")</x:f>
        <x:v>0.0598530740803708</x:v>
      </x:c>
      <x:c r="C29" s="39"/>
      <x:c r="D29" s="39"/>
      <x:c r="E29" s="26" t="str">
        <x:v>calculated</x:v>
      </x:c>
      <x:c r="F29" s="29" t="str">
        <x:v>pretax_profit / revenue</x:v>
      </x:c>
      <x:c r="G29" s="29" t="str"/>
    </x:row>
    <x:row r="30" ht="70" customHeight="1">
      <x:c r="A30" s="26" t="str">
        <x:v>pretax_profit:current_interim</x:v>
      </x:c>
      <x:c r="B30" s="38" t="n">
        <x:f>IF(AND(ISNUMBER(C30),ISNUMBER(D30)),C30*D30/1000000,"缺少資料")</x:f>
        <x:v>691.9</x:v>
      </x:c>
      <x:c r="C30" s="39" t="n">
        <x:v>691900000</x:v>
      </x:c>
      <x:c r="D30" s="39" t="n">
        <x:v>1</x:v>
      </x:c>
      <x:c r="E30" s="26" t="str">
        <x:v>sourced</x:v>
      </x:c>
      <x:c r="F30" s="29" t="str">
        <x:v>IncomeLossFromContinuingOperationsBeforeIncomeTaxesExtraordinaryItemsNoncontrollingInterest</x:v>
      </x:c>
      <x:c r="G30" s="29" t="str">
        <x:v>{"entry": {"accn": "0001402057-26-000065", "end": "2026-06-30", "filed": "2026-08-05", "form": "10-Q", "fp": "Q2", "fy": 2026, "start": "2026-01-01", "val": 691900000}, "namespace": "us-gaap", "tag": "IncomeLossFromContinuingOperationsBeforeIncomeTaxesExtraordinaryItemsNoncontrollingInterest", "unit": "USD"}</x:v>
      </x:c>
    </x:row>
    <x:row r="31" ht="30" customHeight="1">
      <x:c r="A31" s="26" t="str">
        <x:v>pretax_profit:pct:current_interim</x:v>
      </x:c>
      <x:c r="B31" s="40" t="n">
        <x:f>IF(AND(ISNUMBER(B30),ISNUMBER(B6)),IF(B6=0,"無法計算",B30/B6),"缺少資料")</x:f>
        <x:v>0.05647241266731962</x:v>
      </x:c>
      <x:c r="C31" s="39"/>
      <x:c r="D31" s="39"/>
      <x:c r="E31" s="26" t="str">
        <x:v>calculated</x:v>
      </x:c>
      <x:c r="F31" s="29" t="str">
        <x:v>pretax_profit / revenue</x:v>
      </x:c>
      <x:c r="G31" s="29" t="str"/>
    </x:row>
    <x:row r="32" ht="98" customHeight="1">
      <x:c r="A32" s="26" t="str">
        <x:v>income_tax:prior_interim</x:v>
      </x:c>
      <x:c r="B32" s="38" t="n">
        <x:f>IF(AND(ISNUMBER(C32),ISNUMBER(D32)),C32*D32/1000000,"缺少資料")</x:f>
        <x:v>172.8</x:v>
      </x:c>
      <x:c r="C32" s="39" t="n">
        <x:v>172800000</x:v>
      </x:c>
      <x:c r="D32" s="39" t="n">
        <x:v>1</x:v>
      </x:c>
      <x:c r="E32" s="26" t="str">
        <x:v>sourced</x:v>
      </x:c>
      <x:c r="F32" s="29" t="str">
        <x:v>IncomeTaxExpenseBenefit</x:v>
      </x:c>
      <x:c r="G32" s="29" t="str">
        <x:v>{"entry": {"accn": "0001402057-26-000065", "end": "2025-06-30", "filed": "2026-08-05", "form": "10-Q", "fp": "Q2", "fy": 2026, "start": "2025-01-01", "val": 172800000}, "namespace": "us-gaap", "tag": "IncomeTaxExpenseBenefit", "unit": "USD"}; {"entry": {"accn": "0001402057-25-000145", "end": "2025-06-30", "filed": "2025-08-06", "form": "10-Q", "fp": "Q2", "fy": 2025, "start": "2025-01-01", "val": 172800000}, "namespace": "us-gaap", "tag": "IncomeTaxExpenseBenefit", "unit": "USD"}</x:v>
      </x:c>
    </x:row>
    <x:row r="33" ht="30" customHeight="1">
      <x:c r="A33" s="26" t="str">
        <x:v>income_tax:pct:prior_interim</x:v>
      </x:c>
      <x:c r="B33" s="40" t="n">
        <x:f>IF(AND(ISNUMBER(B32),ISNUMBER(B4)),IF(B4=0,"無法計算",B32/B4),"缺少資料")</x:f>
        <x:v>0.0154621187039738</x:v>
      </x:c>
      <x:c r="C33" s="39"/>
      <x:c r="D33" s="39"/>
      <x:c r="E33" s="26" t="str">
        <x:v>calculated</x:v>
      </x:c>
      <x:c r="F33" s="29" t="str">
        <x:v>income_tax / revenue</x:v>
      </x:c>
      <x:c r="G33" s="29" t="str"/>
    </x:row>
    <x:row r="34" ht="56" customHeight="1">
      <x:c r="A34" s="26" t="str">
        <x:v>income_tax:current_interim</x:v>
      </x:c>
      <x:c r="B34" s="38" t="n">
        <x:f>IF(AND(ISNUMBER(C34),ISNUMBER(D34)),C34*D34/1000000,"缺少資料")</x:f>
        <x:v>182.1</x:v>
      </x:c>
      <x:c r="C34" s="39" t="n">
        <x:v>182100000</x:v>
      </x:c>
      <x:c r="D34" s="39" t="n">
        <x:v>1</x:v>
      </x:c>
      <x:c r="E34" s="26" t="str">
        <x:v>sourced</x:v>
      </x:c>
      <x:c r="F34" s="29" t="str">
        <x:v>IncomeTaxExpenseBenefit</x:v>
      </x:c>
      <x:c r="G34" s="29" t="str">
        <x:v>{"entry": {"accn": "0001402057-26-000065", "end": "2026-06-30", "filed": "2026-08-05", "form": "10-Q", "fp": "Q2", "fy": 2026, "start": "2026-01-01", "val": 182100000}, "namespace": "us-gaap", "tag": "IncomeTaxExpenseBenefit", "unit": "USD"}</x:v>
      </x:c>
    </x:row>
    <x:row r="35" ht="30" customHeight="1">
      <x:c r="A35" s="26" t="str">
        <x:v>income_tax:pct:current_interim</x:v>
      </x:c>
      <x:c r="B35" s="40" t="n">
        <x:f>IF(AND(ISNUMBER(B34),ISNUMBER(B6)),IF(B6=0,"無法計算",B34/B6),"缺少資料")</x:f>
        <x:v>0.014862879529872674</x:v>
      </x:c>
      <x:c r="C35" s="39"/>
      <x:c r="D35" s="39"/>
      <x:c r="E35" s="26" t="str">
        <x:v>calculated</x:v>
      </x:c>
      <x:c r="F35" s="29" t="str">
        <x:v>income_tax / revenue</x:v>
      </x:c>
      <x:c r="G35" s="29" t="str"/>
    </x:row>
    <x:row r="36" ht="98" customHeight="1">
      <x:c r="A36" s="26" t="str">
        <x:v>net_income:prior_interim</x:v>
      </x:c>
      <x:c r="B36" s="38" t="n">
        <x:f>IF(AND(ISNUMBER(C36),ISNUMBER(D36)),C36*D36/1000000,"缺少資料")</x:f>
        <x:v>496.1</x:v>
      </x:c>
      <x:c r="C36" s="39" t="n">
        <x:v>496100000</x:v>
      </x:c>
      <x:c r="D36" s="39" t="n">
        <x:v>1</x:v>
      </x:c>
      <x:c r="E36" s="26" t="str">
        <x:v>sourced</x:v>
      </x:c>
      <x:c r="F36" s="29" t="str">
        <x:v>NetIncomeLoss</x:v>
      </x:c>
      <x:c r="G36" s="29" t="str">
        <x:v>{"entry": {"accn": "0001402057-26-000065", "end": "2025-06-30", "filed": "2026-08-05", "form": "10-Q", "fp": "Q2", "fy": 2026, "start": "2025-01-01", "val": 496100000}, "namespace": "us-gaap", "tag": "NetIncomeLoss", "unit": "USD"}; {"entry": {"accn": "0001402057-25-000145", "end": "2025-06-30", "filed": "2025-08-06", "form": "10-Q", "fp": "Q2", "fy": 2025, "start": "2025-01-01", "val": 496100000}, "namespace": "us-gaap", "tag": "NetIncomeLoss", "unit": "USD"}</x:v>
      </x:c>
    </x:row>
    <x:row r="37" ht="30" customHeight="1">
      <x:c r="A37" s="26" t="str">
        <x:v>net_income:pct:prior_interim</x:v>
      </x:c>
      <x:c r="B37" s="40" t="n">
        <x:f>IF(AND(ISNUMBER(B36),ISNUMBER(B4)),IF(B4=0,"無法計算",B36/B4),"缺少資料")</x:f>
        <x:v>0.04439095537639701</x:v>
      </x:c>
      <x:c r="C37" s="39"/>
      <x:c r="D37" s="39"/>
      <x:c r="E37" s="26" t="str">
        <x:v>calculated</x:v>
      </x:c>
      <x:c r="F37" s="29" t="str">
        <x:v>net_income / revenue</x:v>
      </x:c>
      <x:c r="G37" s="29" t="str"/>
    </x:row>
    <x:row r="38" ht="56" customHeight="1">
      <x:c r="A38" s="26" t="str">
        <x:v>net_income:current_interim</x:v>
      </x:c>
      <x:c r="B38" s="38" t="n">
        <x:f>IF(AND(ISNUMBER(C38),ISNUMBER(D38)),C38*D38/1000000,"缺少資料")</x:f>
        <x:v>509.8</x:v>
      </x:c>
      <x:c r="C38" s="39" t="n">
        <x:v>509800000</x:v>
      </x:c>
      <x:c r="D38" s="39" t="n">
        <x:v>1</x:v>
      </x:c>
      <x:c r="E38" s="26" t="str">
        <x:v>sourced</x:v>
      </x:c>
      <x:c r="F38" s="29" t="str">
        <x:v>NetIncomeLoss</x:v>
      </x:c>
      <x:c r="G38" s="29" t="str">
        <x:v>{"entry": {"accn": "0001402057-26-000065", "end": "2026-06-30", "filed": "2026-08-05", "form": "10-Q", "fp": "Q2", "fy": 2026, "start": "2026-01-01", "val": 509800000}, "namespace": "us-gaap", "tag": "NetIncomeLoss", "unit": "USD"}</x:v>
      </x:c>
    </x:row>
    <x:row r="39" ht="30" customHeight="1">
      <x:c r="A39" s="26" t="str">
        <x:v>net_income:pct:current_interim</x:v>
      </x:c>
      <x:c r="B39" s="40" t="n">
        <x:f>IF(AND(ISNUMBER(B38),ISNUMBER(B6)),IF(B6=0,"無法計算",B38/B6),"缺少資料")</x:f>
        <x:v>0.04160953313744695</x:v>
      </x:c>
      <x:c r="C39" s="39"/>
      <x:c r="D39" s="39"/>
      <x:c r="E39" s="26" t="str">
        <x:v>calculated</x:v>
      </x:c>
      <x:c r="F39" s="29" t="str">
        <x:v>net_income / revenue</x:v>
      </x:c>
      <x:c r="G39" s="29" t="str"/>
    </x:row>
    <x:row r="40" ht="30" customHeight="1">
      <x:c r="A40" s="26" t="str">
        <x:v>current_ratio:earlier_fy_end</x:v>
      </x:c>
      <x:c r="B40" s="40" t="n">
        <x:f>IF(AND(ISNUMBER(B73),ISNUMBER(B77)),IF(B77=0,"無法計算",B73/B77),"缺少資料")</x:f>
        <x:v>1.3468325295922843</x:v>
      </x:c>
      <x:c r="C40" s="39"/>
      <x:c r="D40" s="39"/>
      <x:c r="E40" s="26" t="str">
        <x:v>calculated</x:v>
      </x:c>
      <x:c r="F40" s="29" t="str">
        <x:v>Current Assets / Current Liabilities</x:v>
      </x:c>
      <x:c r="G40" s="29" t="str"/>
    </x:row>
    <x:row r="41" ht="30" customHeight="1">
      <x:c r="A41" s="26" t="str">
        <x:v>current_ratio:prior_interim</x:v>
      </x:c>
      <x:c r="B41" s="40" t="n">
        <x:f>IF(AND(ISNUMBER(B75),ISNUMBER(B79)),IF(B79=0,"無法計算",B75/B79),"缺少資料")</x:f>
        <x:v>1.3497941678006098</x:v>
      </x:c>
      <x:c r="C41" s="39"/>
      <x:c r="D41" s="39"/>
      <x:c r="E41" s="26" t="str">
        <x:v>calculated</x:v>
      </x:c>
      <x:c r="F41" s="29" t="str">
        <x:v>Current Assets / Current Liabilities</x:v>
      </x:c>
      <x:c r="G41" s="29" t="str"/>
    </x:row>
    <x:row r="42" ht="30" customHeight="1">
      <x:c r="A42" s="26" t="str">
        <x:v>current_ratio:latest_fy_end</x:v>
      </x:c>
      <x:c r="B42" s="40" t="n">
        <x:f>IF(AND(ISNUMBER(B74),ISNUMBER(B78)),IF(B78=0,"無法計算",B74/B78),"缺少資料")</x:f>
        <x:v>1.1763606924897247</x:v>
      </x:c>
      <x:c r="C42" s="39"/>
      <x:c r="D42" s="39"/>
      <x:c r="E42" s="26" t="str">
        <x:v>calculated</x:v>
      </x:c>
      <x:c r="F42" s="29" t="str">
        <x:v>Current Assets / Current Liabilities</x:v>
      </x:c>
      <x:c r="G42" s="29" t="str"/>
    </x:row>
    <x:row r="43" ht="30" customHeight="1">
      <x:c r="A43" s="26" t="str">
        <x:v>current_ratio:current_interim</x:v>
      </x:c>
      <x:c r="B43" s="40" t="n">
        <x:f>IF(AND(ISNUMBER(B72),ISNUMBER(B76)),IF(B76=0,"無法計算",B72/B76),"缺少資料")</x:f>
        <x:v>1.1668313967503978</x:v>
      </x:c>
      <x:c r="C43" s="39"/>
      <x:c r="D43" s="39"/>
      <x:c r="E43" s="26" t="str">
        <x:v>calculated</x:v>
      </x:c>
      <x:c r="F43" s="29" t="str">
        <x:v>Current Assets / Current Liabilities</x:v>
      </x:c>
      <x:c r="G43" s="29" t="str"/>
    </x:row>
    <x:row r="44" ht="30" customHeight="1">
      <x:c r="A44" s="26" t="str">
        <x:v>quick_ratio:earlier_fy_end</x:v>
      </x:c>
      <x:c r="B44" s="40" t="str">
        <x:v>無法計算／待確認</x:v>
      </x:c>
      <x:c r="C44" s="39"/>
      <x:c r="D44" s="39"/>
      <x:c r="E44" s="26" t="str">
        <x:v>無法計算／待確認</x:v>
      </x:c>
      <x:c r="F44" s="29" t="str">
        <x:v>Required inputs unavailable</x:v>
      </x:c>
      <x:c r="G44" s="29" t="str"/>
    </x:row>
    <x:row r="45" ht="30" customHeight="1">
      <x:c r="A45" s="26" t="str">
        <x:v>quick_ratio:prior_interim</x:v>
      </x:c>
      <x:c r="B45" s="40" t="str">
        <x:v>無法計算／待確認</x:v>
      </x:c>
      <x:c r="C45" s="39"/>
      <x:c r="D45" s="39"/>
      <x:c r="E45" s="26" t="str">
        <x:v>無法計算／待確認</x:v>
      </x:c>
      <x:c r="F45" s="29" t="str">
        <x:v>Required inputs unavailable</x:v>
      </x:c>
      <x:c r="G45" s="29" t="str"/>
    </x:row>
    <x:row r="46" ht="30" customHeight="1">
      <x:c r="A46" s="26" t="str">
        <x:v>quick_ratio:latest_fy_end</x:v>
      </x:c>
      <x:c r="B46" s="40" t="str">
        <x:v>無法計算／待確認</x:v>
      </x:c>
      <x:c r="C46" s="39"/>
      <x:c r="D46" s="39"/>
      <x:c r="E46" s="26" t="str">
        <x:v>無法計算／待確認</x:v>
      </x:c>
      <x:c r="F46" s="29" t="str">
        <x:v>Required inputs unavailable</x:v>
      </x:c>
      <x:c r="G46" s="29" t="str"/>
    </x:row>
    <x:row r="47" ht="30" customHeight="1">
      <x:c r="A47" s="26" t="str">
        <x:v>quick_ratio:current_interim</x:v>
      </x:c>
      <x:c r="B47" s="40" t="str">
        <x:v>無法計算／待確認</x:v>
      </x:c>
      <x:c r="C47" s="39"/>
      <x:c r="D47" s="39"/>
      <x:c r="E47" s="26" t="str">
        <x:v>無法計算／待確認</x:v>
      </x:c>
      <x:c r="F47" s="29" t="str">
        <x:v>Required inputs unavailable</x:v>
      </x:c>
      <x:c r="G47" s="29" t="str"/>
    </x:row>
    <x:row r="48" ht="30" customHeight="1">
      <x:c r="A48" s="26" t="str">
        <x:v>debt_ratio:earlier_fy_end</x:v>
      </x:c>
      <x:c r="B48" s="40" t="n">
        <x:f>IF(AND(ISNUMBER(B93),ISNUMBER(B85)),IF(B85=0,"無法計算",B93/B85),"缺少資料")</x:f>
        <x:v>5.2389594933480685</x:v>
      </x:c>
      <x:c r="C48" s="39"/>
      <x:c r="D48" s="39"/>
      <x:c r="E48" s="26" t="str">
        <x:v>calculated</x:v>
      </x:c>
      <x:c r="F48" s="29" t="str">
        <x:v>Total Liabilities / Net Worth</x:v>
      </x:c>
      <x:c r="G48" s="29" t="str"/>
    </x:row>
    <x:row r="49" ht="30" customHeight="1">
      <x:c r="A49" s="26" t="str">
        <x:v>debt_ratio:prior_interim</x:v>
      </x:c>
      <x:c r="B49" s="40" t="n">
        <x:f>IF(AND(ISNUMBER(B95),ISNUMBER(B87)),IF(B87=0,"無法計算",B95/B87),"缺少資料")</x:f>
        <x:v>5.1874594682230875</x:v>
      </x:c>
      <x:c r="C49" s="39"/>
      <x:c r="D49" s="39"/>
      <x:c r="E49" s="26" t="str">
        <x:v>calculated</x:v>
      </x:c>
      <x:c r="F49" s="29" t="str">
        <x:v>Total Liabilities / Net Worth</x:v>
      </x:c>
      <x:c r="G49" s="29" t="str"/>
    </x:row>
    <x:row r="50" ht="30" customHeight="1">
      <x:c r="A50" s="26" t="str">
        <x:v>debt_ratio:latest_fy_end</x:v>
      </x:c>
      <x:c r="B50" s="40" t="n">
        <x:f>IF(AND(ISNUMBER(B94),ISNUMBER(B86)),IF(B86=0,"無法計算",B94/B86),"缺少資料")</x:f>
        <x:v>5.150262844863973</x:v>
      </x:c>
      <x:c r="C50" s="39"/>
      <x:c r="D50" s="39"/>
      <x:c r="E50" s="26" t="str">
        <x:v>calculated</x:v>
      </x:c>
      <x:c r="F50" s="29" t="str">
        <x:v>Total Liabilities / Net Worth</x:v>
      </x:c>
      <x:c r="G50" s="29" t="str"/>
    </x:row>
    <x:row r="51" ht="30" customHeight="1">
      <x:c r="A51" s="26" t="str">
        <x:v>debt_ratio:current_interim</x:v>
      </x:c>
      <x:c r="B51" s="40" t="n">
        <x:f>IF(AND(ISNUMBER(B92),ISNUMBER(B84)),IF(B84=0,"無法計算",B92/B84),"缺少資料")</x:f>
        <x:v>6.065558330944679</x:v>
      </x:c>
      <x:c r="C51" s="39"/>
      <x:c r="D51" s="39"/>
      <x:c r="E51" s="26" t="str">
        <x:v>calculated</x:v>
      </x:c>
      <x:c r="F51" s="29" t="str">
        <x:v>Total Liabilities / Net Worth</x:v>
      </x:c>
      <x:c r="G51" s="29" t="str"/>
    </x:row>
    <x:row r="52" ht="42" customHeight="1">
      <x:c r="A52" s="26" t="str">
        <x:v>total_debt:earlier_fy_end</x:v>
      </x:c>
      <x:c r="B52" s="38" t="n">
        <x:f>IF(AND(ISNUMBER(C52),ISNUMBER(D52)),C52*D52/1000000,"缺少資料")</x:f>
        <x:v>5875.6</x:v>
      </x:c>
      <x:c r="C52" s="39" t="n">
        <x:v>5875600000</x:v>
      </x:c>
      <x:c r="D52" s="39" t="n">
        <x:v>1</x:v>
      </x:c>
      <x:c r="E52" s="26" t="str">
        <x:v>sourced</x:v>
      </x:c>
      <x:c r="F52" s="29" t="str">
        <x:v>Consolidated interest-bearing borrowings, bonds and finance lease liabilities, including current portions once; exclude operating lease liabilities and trade payables</x:v>
      </x:c>
      <x:c r="G52" s="29" t="str">
        <x:v>Debt note gross debt components before issuance costs; include separately disclosed interest-bearing product financing of USD 62m in June 2026; exclude non-interest supplier financing and operating leases</x:v>
      </x:c>
    </x:row>
    <x:row r="53" ht="42" customHeight="1">
      <x:c r="A53" s="26" t="str">
        <x:v>total_debt:prior_interim</x:v>
      </x:c>
      <x:c r="B53" s="38" t="n">
        <x:f>IF(AND(ISNUMBER(C53),ISNUMBER(D53)),C53*D53/1000000,"缺少資料")</x:f>
        <x:v>5661.6</x:v>
      </x:c>
      <x:c r="C53" s="39" t="n">
        <x:v>5661600000</x:v>
      </x:c>
      <x:c r="D53" s="39" t="n">
        <x:v>1</x:v>
      </x:c>
      <x:c r="E53" s="26" t="str">
        <x:v>sourced</x:v>
      </x:c>
      <x:c r="F53" s="29" t="str">
        <x:v>Consolidated interest-bearing borrowings, bonds and finance lease liabilities, including current portions once; exclude operating lease liabilities and trade payables</x:v>
      </x:c>
      <x:c r="G53" s="29" t="str">
        <x:v>Debt note gross debt components before issuance costs; include separately disclosed interest-bearing product financing of USD 62m in June 2026; exclude non-interest supplier financing and operating leases</x:v>
      </x:c>
    </x:row>
    <x:row r="54" ht="42" customHeight="1">
      <x:c r="A54" s="26" t="str">
        <x:v>total_debt:latest_fy_end</x:v>
      </x:c>
      <x:c r="B54" s="38" t="n">
        <x:f>IF(AND(ISNUMBER(C54),ISNUMBER(D54)),C54*D54/1000000,"缺少資料")</x:f>
        <x:v>5655.3</x:v>
      </x:c>
      <x:c r="C54" s="39" t="n">
        <x:v>5655300000</x:v>
      </x:c>
      <x:c r="D54" s="39" t="n">
        <x:v>1</x:v>
      </x:c>
      <x:c r="E54" s="26" t="str">
        <x:v>sourced</x:v>
      </x:c>
      <x:c r="F54" s="29" t="str">
        <x:v>Consolidated interest-bearing borrowings, bonds and finance lease liabilities, including current portions once; exclude operating lease liabilities and trade payables</x:v>
      </x:c>
      <x:c r="G54" s="29" t="str">
        <x:v>Debt note gross debt components before issuance costs; include separately disclosed interest-bearing product financing of USD 62m in June 2026; exclude non-interest supplier financing and operating leases</x:v>
      </x:c>
    </x:row>
    <x:row r="55" ht="42" customHeight="1">
      <x:c r="A55" s="26" t="str">
        <x:v>total_debt:current_interim</x:v>
      </x:c>
      <x:c r="B55" s="38" t="n">
        <x:f>IF(AND(ISNUMBER(C55),ISNUMBER(D55)),C55*D55/1000000,"缺少資料")</x:f>
        <x:v>5900.9</x:v>
      </x:c>
      <x:c r="C55" s="39" t="n">
        <x:v>5900900000</x:v>
      </x:c>
      <x:c r="D55" s="39" t="n">
        <x:v>1</x:v>
      </x:c>
      <x:c r="E55" s="26" t="str">
        <x:v>sourced</x:v>
      </x:c>
      <x:c r="F55" s="29" t="str">
        <x:v>Consolidated interest-bearing borrowings, bonds and finance lease liabilities, including current portions once; exclude operating lease liabilities and trade payables</x:v>
      </x:c>
      <x:c r="G55" s="29" t="str">
        <x:v>Debt note gross debt components before issuance costs; include separately disclosed interest-bearing product financing of USD 62m in June 2026; exclude non-interest supplier financing and operating leases</x:v>
      </x:c>
    </x:row>
    <x:row r="56" ht="30" customHeight="1">
      <x:c r="A56" s="26" t="str">
        <x:v>ltm_ebitda:earlier_fy_end</x:v>
      </x:c>
      <x:c r="B56" s="38" t="str">
        <x:v>無法計算／待確認</x:v>
      </x:c>
      <x:c r="C56" s="39"/>
      <x:c r="D56" s="39"/>
      <x:c r="E56" s="26" t="str">
        <x:v>無法計算／待確認</x:v>
      </x:c>
      <x:c r="F56" s="29" t="str">
        <x:v>Verified Standard EBITDA basis required</x:v>
      </x:c>
      <x:c r="G56" s="29" t="str"/>
    </x:row>
    <x:row r="57" ht="30" customHeight="1">
      <x:c r="A57" s="26" t="str">
        <x:v>ltm_ebitda:prior_interim</x:v>
      </x:c>
      <x:c r="B57" s="38" t="str">
        <x:v>無法計算／待確認</x:v>
      </x:c>
      <x:c r="C57" s="39"/>
      <x:c r="D57" s="39"/>
      <x:c r="E57" s="26" t="str">
        <x:v>無法計算／待確認</x:v>
      </x:c>
      <x:c r="F57" s="29" t="str">
        <x:v>Verified Standard EBITDA basis required</x:v>
      </x:c>
      <x:c r="G57" s="29" t="str"/>
    </x:row>
    <x:row r="58" ht="30" customHeight="1">
      <x:c r="A58" s="26" t="str">
        <x:v>ltm_ebitda:latest_fy_end</x:v>
      </x:c>
      <x:c r="B58" s="38" t="str">
        <x:v>無法計算／待確認</x:v>
      </x:c>
      <x:c r="C58" s="39"/>
      <x:c r="D58" s="39"/>
      <x:c r="E58" s="26" t="str">
        <x:v>無法計算／待確認</x:v>
      </x:c>
      <x:c r="F58" s="29" t="str">
        <x:v>Verified Standard EBITDA basis required</x:v>
      </x:c>
      <x:c r="G58" s="29" t="str"/>
    </x:row>
    <x:row r="59" ht="30" customHeight="1">
      <x:c r="A59" s="26" t="str">
        <x:v>ltm_ebitda:current_interim</x:v>
      </x:c>
      <x:c r="B59" s="38" t="str">
        <x:v>無法計算／待確認</x:v>
      </x:c>
      <x:c r="C59" s="39"/>
      <x:c r="D59" s="39"/>
      <x:c r="E59" s="26" t="str">
        <x:v>無法計算／待確認</x:v>
      </x:c>
      <x:c r="F59" s="29" t="str">
        <x:v>Verified Standard EBITDA basis required</x:v>
      </x:c>
      <x:c r="G59" s="29" t="str"/>
    </x:row>
    <x:row r="60" ht="30" customHeight="1">
      <x:c r="A60" s="26" t="str">
        <x:v>ebitda_basis:earlier_fy_end</x:v>
      </x:c>
      <x:c r="B60" s="38" t="str">
        <x:v>缺少資料</x:v>
      </x:c>
      <x:c r="C60" s="39"/>
      <x:c r="D60" s="39"/>
      <x:c r="E60" s="26" t="str">
        <x:v>缺少資料</x:v>
      </x:c>
      <x:c r="F60" s="29" t="str">
        <x:v>No matching source in the reviewed inputs; not a claim of non-disclosure</x:v>
      </x:c>
      <x:c r="G60" s="29" t="str"/>
    </x:row>
    <x:row r="61" ht="30" customHeight="1">
      <x:c r="A61" s="26" t="str">
        <x:v>ebitda_basis:prior_interim</x:v>
      </x:c>
      <x:c r="B61" s="38" t="str">
        <x:v>缺少資料</x:v>
      </x:c>
      <x:c r="C61" s="39"/>
      <x:c r="D61" s="39"/>
      <x:c r="E61" s="26" t="str">
        <x:v>缺少資料</x:v>
      </x:c>
      <x:c r="F61" s="29" t="str">
        <x:v>No matching source in the reviewed inputs; not a claim of non-disclosure</x:v>
      </x:c>
      <x:c r="G61" s="29" t="str"/>
    </x:row>
    <x:row r="62" ht="30" customHeight="1">
      <x:c r="A62" s="26" t="str">
        <x:v>ebitda_basis:latest_fy_end</x:v>
      </x:c>
      <x:c r="B62" s="38" t="str">
        <x:v>缺少資料</x:v>
      </x:c>
      <x:c r="C62" s="39"/>
      <x:c r="D62" s="39"/>
      <x:c r="E62" s="26" t="str">
        <x:v>缺少資料</x:v>
      </x:c>
      <x:c r="F62" s="29" t="str">
        <x:v>No matching source in the reviewed inputs; not a claim of non-disclosure</x:v>
      </x:c>
      <x:c r="G62" s="29" t="str"/>
    </x:row>
    <x:row r="63" ht="30" customHeight="1">
      <x:c r="A63" s="26" t="str">
        <x:v>ebitda_basis:current_interim</x:v>
      </x:c>
      <x:c r="B63" s="38" t="str">
        <x:v>缺少資料</x:v>
      </x:c>
      <x:c r="C63" s="39"/>
      <x:c r="D63" s="39"/>
      <x:c r="E63" s="26" t="str">
        <x:v>缺少資料</x:v>
      </x:c>
      <x:c r="F63" s="29" t="str">
        <x:v>No matching source in the reviewed inputs; not a claim of non-disclosure</x:v>
      </x:c>
      <x:c r="G63" s="29" t="str"/>
    </x:row>
    <x:row r="64" ht="30" customHeight="1">
      <x:c r="A64" s="26" t="str">
        <x:v>total_leverage:earlier_fy_end</x:v>
      </x:c>
      <x:c r="B64" s="41" t="str">
        <x:v>無法計算／待確認</x:v>
      </x:c>
      <x:c r="C64" s="39"/>
      <x:c r="D64" s="39"/>
      <x:c r="E64" s="26" t="str">
        <x:v>無法計算／待確認</x:v>
      </x:c>
      <x:c r="F64" s="29" t="str">
        <x:v>Required inputs unavailable</x:v>
      </x:c>
      <x:c r="G64" s="29" t="str"/>
    </x:row>
    <x:row r="65" ht="30" customHeight="1">
      <x:c r="A65" s="26" t="str">
        <x:v>total_leverage:prior_interim</x:v>
      </x:c>
      <x:c r="B65" s="41" t="str">
        <x:v>無法計算／待確認</x:v>
      </x:c>
      <x:c r="C65" s="39"/>
      <x:c r="D65" s="39"/>
      <x:c r="E65" s="26" t="str">
        <x:v>無法計算／待確認</x:v>
      </x:c>
      <x:c r="F65" s="29" t="str">
        <x:v>Required inputs unavailable</x:v>
      </x:c>
      <x:c r="G65" s="29" t="str"/>
    </x:row>
    <x:row r="66" ht="30" customHeight="1">
      <x:c r="A66" s="26" t="str">
        <x:v>total_leverage:latest_fy_end</x:v>
      </x:c>
      <x:c r="B66" s="41" t="str">
        <x:v>無法計算／待確認</x:v>
      </x:c>
      <x:c r="C66" s="39"/>
      <x:c r="D66" s="39"/>
      <x:c r="E66" s="26" t="str">
        <x:v>無法計算／待確認</x:v>
      </x:c>
      <x:c r="F66" s="29" t="str">
        <x:v>Required inputs unavailable</x:v>
      </x:c>
      <x:c r="G66" s="29" t="str"/>
    </x:row>
    <x:row r="67" ht="30" customHeight="1">
      <x:c r="A67" s="26" t="str">
        <x:v>total_leverage:current_interim</x:v>
      </x:c>
      <x:c r="B67" s="41" t="str">
        <x:v>無法計算／待確認</x:v>
      </x:c>
      <x:c r="C67" s="39"/>
      <x:c r="D67" s="39"/>
      <x:c r="E67" s="26" t="str">
        <x:v>無法計算／待確認</x:v>
      </x:c>
      <x:c r="F67" s="29" t="str">
        <x:v>Required inputs unavailable</x:v>
      </x:c>
      <x:c r="G67" s="29" t="str"/>
    </x:row>
    <x:row r="68" ht="30" customHeight="1">
      <x:c r="A68" s="26" t="str">
        <x:v>input:capitalized_interest:current_interim</x:v>
      </x:c>
      <x:c r="B68" s="38" t="str">
        <x:v>缺少資料</x:v>
      </x:c>
      <x:c r="C68" s="39"/>
      <x:c r="D68" s="39"/>
      <x:c r="E68" s="26" t="str">
        <x:v>缺少資料</x:v>
      </x:c>
      <x:c r="F68" s="29" t="str">
        <x:v>No matching source in the reviewed inputs; not a claim of non-disclosure</x:v>
      </x:c>
      <x:c r="G68" s="29" t="str"/>
    </x:row>
    <x:row r="69" ht="30" customHeight="1">
      <x:c r="A69" s="26" t="str">
        <x:v>input:capitalized_interest:earlier_fy_end</x:v>
      </x:c>
      <x:c r="B69" s="38" t="str">
        <x:v>缺少資料</x:v>
      </x:c>
      <x:c r="C69" s="39"/>
      <x:c r="D69" s="39"/>
      <x:c r="E69" s="26" t="str">
        <x:v>缺少資料</x:v>
      </x:c>
      <x:c r="F69" s="29" t="str">
        <x:v>No matching source in the reviewed inputs; not a claim of non-disclosure</x:v>
      </x:c>
      <x:c r="G69" s="29" t="str"/>
    </x:row>
    <x:row r="70" ht="30" customHeight="1">
      <x:c r="A70" s="26" t="str">
        <x:v>input:capitalized_interest:latest_fy_end</x:v>
      </x:c>
      <x:c r="B70" s="38" t="str">
        <x:v>缺少資料</x:v>
      </x:c>
      <x:c r="C70" s="39"/>
      <x:c r="D70" s="39"/>
      <x:c r="E70" s="26" t="str">
        <x:v>缺少資料</x:v>
      </x:c>
      <x:c r="F70" s="29" t="str">
        <x:v>No matching source in the reviewed inputs; not a claim of non-disclosure</x:v>
      </x:c>
      <x:c r="G70" s="29" t="str"/>
    </x:row>
    <x:row r="71" ht="30" customHeight="1">
      <x:c r="A71" s="26" t="str">
        <x:v>input:capitalized_interest:prior_interim</x:v>
      </x:c>
      <x:c r="B71" s="38" t="str">
        <x:v>缺少資料</x:v>
      </x:c>
      <x:c r="C71" s="39"/>
      <x:c r="D71" s="39"/>
      <x:c r="E71" s="26" t="str">
        <x:v>缺少資料</x:v>
      </x:c>
      <x:c r="F71" s="29" t="str">
        <x:v>No matching source in the reviewed inputs; not a claim of non-disclosure</x:v>
      </x:c>
      <x:c r="G71" s="29" t="str"/>
    </x:row>
    <x:row r="72" ht="56" customHeight="1">
      <x:c r="A72" s="26" t="str">
        <x:v>input:current_assets:current_interim</x:v>
      </x:c>
      <x:c r="B72" s="38" t="n">
        <x:f>IF(AND(ISNUMBER(C72),ISNUMBER(D72)),C72*D72/1000000,"缺少資料")</x:f>
        <x:v>9680.5</x:v>
      </x:c>
      <x:c r="C72" s="39" t="n">
        <x:v>9680500000</x:v>
      </x:c>
      <x:c r="D72" s="39" t="n">
        <x:v>1</x:v>
      </x:c>
      <x:c r="E72" s="26" t="str">
        <x:v>sourced</x:v>
      </x:c>
      <x:c r="F72" s="29" t="str">
        <x:v>AssetsCurrent</x:v>
      </x:c>
      <x:c r="G72" s="29" t="str">
        <x:v>{"entry": {"accn": "0001402057-26-000065", "end": "2026-06-30", "filed": "2026-08-05", "form": "10-Q", "fp": "Q2", "frame": "CY2026Q2I", "fy": 2026, "val": 9680500000}, "namespace": "us-gaap", "tag": "AssetsCurrent", "unit": "USD"}</x:v>
      </x:c>
    </x:row>
    <x:row r="73" ht="210" customHeight="1">
      <x:c r="A73" s="26" t="str">
        <x:v>input:current_assets:earlier_fy_end</x:v>
      </x:c>
      <x:c r="B73" s="38" t="n">
        <x:f>IF(AND(ISNUMBER(C73),ISNUMBER(D73)),C73*D73/1000000,"缺少資料")</x:f>
        <x:v>7373.1</x:v>
      </x:c>
      <x:c r="C73" s="39" t="n">
        <x:v>7373100000</x:v>
      </x:c>
      <x:c r="D73" s="39" t="n">
        <x:v>1</x:v>
      </x:c>
      <x:c r="E73" s="26" t="str">
        <x:v>sourced</x:v>
      </x:c>
      <x:c r="F73" s="29" t="str">
        <x:v>AssetsCurrent</x:v>
      </x:c>
      <x:c r="G73" s="29" t="str">
        <x:v>{"entry": {"accn": "0001402057-26-000011", "end": "2024-12-31", "filed": "2026-02-20", "form": "10-K", "fp": "FY", "frame": "CY2024Q4I", "fy": 2025, "val": 7373100000}, "namespace": "us-gaap", "tag": "AssetsCurrent", "unit": "USD"}; {"entry": {"accn": "0001402057-25-000193", "end": "2024-12-31", "filed": "2025-11-04", "form": "10-Q", "fp": "Q3", "fy": 2025, "val": 7373100000}, "namespace": "us-gaap", "tag": "AssetsCurrent", "unit": "USD"}; {"entry": {"accn": "0001402057-25-000018", "end": "2024-12-31", "filed": "2025-02-21", "form": "10-K", "fp": "FY", "fy": 2024, "val": 7373100000}, "namespace": "us-gaap", "tag": "AssetsCurrent", "unit": "USD"}; {"entry": {"accn": "0001402057-25-000145", "end": "2024-12-31", "filed": "2025-08-06", "form": "10-Q", "fp": "Q2", "fy": 2025, "val": 7373100000}, "namespace": "us-gaap", "tag": "AssetsCurrent", "unit": "USD"}; {"entry": {"accn": "0001402057-25-000096", "end": "2024-12-31", "filed": "2025-05-07", "form": "10-Q", "fp": "Q1", "fy": 2025, "val": 7373100000}, "namespace": "us-gaap", "tag": "AssetsCurrent", "unit": "USD"}</x:v>
      </x:c>
    </x:row>
    <x:row r="74" ht="126" customHeight="1">
      <x:c r="A74" s="26" t="str">
        <x:v>input:current_assets:latest_fy_end</x:v>
      </x:c>
      <x:c r="B74" s="38" t="n">
        <x:f>IF(AND(ISNUMBER(C74),ISNUMBER(D74)),C74*D74/1000000,"缺少資料")</x:f>
        <x:v>8500.5</x:v>
      </x:c>
      <x:c r="C74" s="39" t="n">
        <x:v>8500500000</x:v>
      </x:c>
      <x:c r="D74" s="39" t="n">
        <x:v>1</x:v>
      </x:c>
      <x:c r="E74" s="26" t="str">
        <x:v>sourced</x:v>
      </x:c>
      <x:c r="F74" s="29" t="str">
        <x:v>AssetsCurrent</x:v>
      </x:c>
      <x:c r="G74" s="29" t="str">
        <x:v>{"entry": {"accn": "0001402057-26-000011", "end": "2025-12-31", "filed": "2026-02-20", "form": "10-K", "fp": "FY", "fy": 2025, "val": 8500500000}, "namespace": "us-gaap", "tag": "AssetsCurrent", "unit": "USD"}; {"entry": {"accn": "0001402057-26-000065", "end": "2025-12-31", "filed": "2026-08-05", "form": "10-Q", "fp": "Q2", "frame": "CY2025Q4I", "fy": 2026, "val": 8500500000}, "namespace": "us-gaap", "tag": "AssetsCurrent", "unit": "USD"}; {"entry": {"accn": "0001402057-26-000025", "end": "2025-12-31", "filed": "2026-05-06", "form": "10-Q", "fp": "Q1", "fy": 2026, "val": 8500500000}, "namespace": "us-gaap", "tag": "AssetsCurrent", "unit": "USD"}</x:v>
      </x:c>
    </x:row>
    <x:row r="75" ht="56" customHeight="1">
      <x:c r="A75" s="26" t="str">
        <x:v>input:current_assets:prior_interim</x:v>
      </x:c>
      <x:c r="B75" s="38" t="n">
        <x:f>IF(AND(ISNUMBER(C75),ISNUMBER(D75)),C75*D75/1000000,"缺少資料")</x:f>
        <x:v>7836.5</x:v>
      </x:c>
      <x:c r="C75" s="39" t="n">
        <x:v>7836500000</x:v>
      </x:c>
      <x:c r="D75" s="39" t="n">
        <x:v>1</x:v>
      </x:c>
      <x:c r="E75" s="26" t="str">
        <x:v>sourced</x:v>
      </x:c>
      <x:c r="F75" s="29" t="str">
        <x:v>AssetsCurrent</x:v>
      </x:c>
      <x:c r="G75" s="29" t="str">
        <x:v>{"entry": {"accn": "0001402057-25-000145", "end": "2025-06-30", "filed": "2025-08-06", "form": "10-Q", "fp": "Q2", "frame": "CY2025Q2I", "fy": 2025, "val": 7836500000}, "namespace": "us-gaap", "tag": "AssetsCurrent", "unit": "USD"}</x:v>
      </x:c>
    </x:row>
    <x:row r="76" ht="56" customHeight="1">
      <x:c r="A76" s="26" t="str">
        <x:v>input:current_liabilities:current_interim</x:v>
      </x:c>
      <x:c r="B76" s="38" t="n">
        <x:f>IF(AND(ISNUMBER(C76),ISNUMBER(D76)),C76*D76/1000000,"缺少資料")</x:f>
        <x:v>8296.4</x:v>
      </x:c>
      <x:c r="C76" s="39" t="n">
        <x:v>8296400000</x:v>
      </x:c>
      <x:c r="D76" s="39" t="n">
        <x:v>1</x:v>
      </x:c>
      <x:c r="E76" s="26" t="str">
        <x:v>sourced</x:v>
      </x:c>
      <x:c r="F76" s="29" t="str">
        <x:v>LiabilitiesCurrent</x:v>
      </x:c>
      <x:c r="G76" s="29" t="str">
        <x:v>{"entry": {"accn": "0001402057-26-000065", "end": "2026-06-30", "filed": "2026-08-05", "form": "10-Q", "fp": "Q2", "frame": "CY2026Q2I", "fy": 2026, "val": 8296400000}, "namespace": "us-gaap", "tag": "LiabilitiesCurrent", "unit": "USD"}</x:v>
      </x:c>
    </x:row>
    <x:row r="77" ht="210" customHeight="1">
      <x:c r="A77" s="26" t="str">
        <x:v>input:current_liabilities:earlier_fy_end</x:v>
      </x:c>
      <x:c r="B77" s="38" t="n">
        <x:f>IF(AND(ISNUMBER(C77),ISNUMBER(D77)),C77*D77/1000000,"缺少資料")</x:f>
        <x:v>5474.4</x:v>
      </x:c>
      <x:c r="C77" s="39" t="n">
        <x:v>5474400000</x:v>
      </x:c>
      <x:c r="D77" s="39" t="n">
        <x:v>1</x:v>
      </x:c>
      <x:c r="E77" s="26" t="str">
        <x:v>sourced</x:v>
      </x:c>
      <x:c r="F77" s="29" t="str">
        <x:v>LiabilitiesCurrent</x:v>
      </x:c>
      <x:c r="G77" s="29" t="str">
        <x:v>{"entry": {"accn": "0001402057-25-000018", "end": "2024-12-31", "filed": "2025-02-21", "form": "10-K", "fp": "FY", "fy": 2024, "val": 5474400000}, "namespace": "us-gaap", "tag": "LiabilitiesCurrent", "unit": "USD"}; {"entry": {"accn": "0001402057-25-000145", "end": "2024-12-31", "filed": "2025-08-06", "form": "10-Q", "fp": "Q2", "fy": 2025, "val": 5474400000}, "namespace": "us-gaap", "tag": "LiabilitiesCurrent", "unit": "USD"}; {"entry": {"accn": "0001402057-25-000096", "end": "2024-12-31", "filed": "2025-05-07", "form": "10-Q", "fp": "Q1", "fy": 2025, "val": 5474400000}, "namespace": "us-gaap", "tag": "LiabilitiesCurrent", "unit": "USD"}; {"entry": {"accn": "0001402057-26-000011", "end": "2024-12-31", "filed": "2026-02-20", "form": "10-K", "fp": "FY", "frame": "CY2024Q4I", "fy": 2025, "val": 5474400000}, "namespace": "us-gaap", "tag": "LiabilitiesCurrent", "unit": "USD"}; {"entry": {"accn": "0001402057-25-000193", "end": "2024-12-31", "filed": "2025-11-04", "form": "10-Q", "fp": "Q3", "fy": 2025, "val": 5474400000}, "namespace": "us-gaap", "tag": "LiabilitiesCurrent", "unit": "USD"}</x:v>
      </x:c>
    </x:row>
    <x:row r="78" ht="126" customHeight="1">
      <x:c r="A78" s="26" t="str">
        <x:v>input:current_liabilities:latest_fy_end</x:v>
      </x:c>
      <x:c r="B78" s="38" t="n">
        <x:f>IF(AND(ISNUMBER(C78),ISNUMBER(D78)),C78*D78/1000000,"缺少資料")</x:f>
        <x:v>7226.1</x:v>
      </x:c>
      <x:c r="C78" s="39" t="n">
        <x:v>7226100000</x:v>
      </x:c>
      <x:c r="D78" s="39" t="n">
        <x:v>1</x:v>
      </x:c>
      <x:c r="E78" s="26" t="str">
        <x:v>sourced</x:v>
      </x:c>
      <x:c r="F78" s="29" t="str">
        <x:v>LiabilitiesCurrent</x:v>
      </x:c>
      <x:c r="G78" s="29" t="str">
        <x:v>{"entry": {"accn": "0001402057-26-000011", "end": "2025-12-31", "filed": "2026-02-20", "form": "10-K", "fp": "FY", "fy": 2025, "val": 7226100000}, "namespace": "us-gaap", "tag": "LiabilitiesCurrent", "unit": "USD"}; {"entry": {"accn": "0001402057-26-000025", "end": "2025-12-31", "filed": "2026-05-06", "form": "10-Q", "fp": "Q1", "fy": 2026, "val": 7226100000}, "namespace": "us-gaap", "tag": "LiabilitiesCurrent", "unit": "USD"}; {"entry": {"accn": "0001402057-26-000065", "end": "2025-12-31", "filed": "2026-08-05", "form": "10-Q", "fp": "Q2", "frame": "CY2025Q4I", "fy": 2026, "val": 7226100000}, "namespace": "us-gaap", "tag": "LiabilitiesCurrent", "unit": "USD"}</x:v>
      </x:c>
    </x:row>
    <x:row r="79" ht="56" customHeight="1">
      <x:c r="A79" s="26" t="str">
        <x:v>input:current_liabilities:prior_interim</x:v>
      </x:c>
      <x:c r="B79" s="38" t="n">
        <x:f>IF(AND(ISNUMBER(C79),ISNUMBER(D79)),C79*D79/1000000,"缺少資料")</x:f>
        <x:v>5805.7</x:v>
      </x:c>
      <x:c r="C79" s="39" t="n">
        <x:v>5805700000</x:v>
      </x:c>
      <x:c r="D79" s="39" t="n">
        <x:v>1</x:v>
      </x:c>
      <x:c r="E79" s="26" t="str">
        <x:v>sourced</x:v>
      </x:c>
      <x:c r="F79" s="29" t="str">
        <x:v>LiabilitiesCurrent</x:v>
      </x:c>
      <x:c r="G79" s="29" t="str">
        <x:v>{"entry": {"accn": "0001402057-25-000145", "end": "2025-06-30", "filed": "2025-08-06", "form": "10-Q", "fp": "Q2", "frame": "CY2025Q2I", "fy": 2025, "val": 5805700000}, "namespace": "us-gaap", "tag": "LiabilitiesCurrent", "unit": "USD"}</x:v>
      </x:c>
    </x:row>
    <x:row r="80" ht="56" customHeight="1">
      <x:c r="A80" s="26" t="str">
        <x:v>input:da:current_interim</x:v>
      </x:c>
      <x:c r="B80" s="38" t="n">
        <x:f>IF(AND(ISNUMBER(C80),ISNUMBER(D80)),C80*D80/1000000,"缺少資料")</x:f>
        <x:v>150.2</x:v>
      </x:c>
      <x:c r="C80" s="39" t="n">
        <x:v>150200000</x:v>
      </x:c>
      <x:c r="D80" s="39" t="n">
        <x:v>1</x:v>
      </x:c>
      <x:c r="E80" s="26" t="str">
        <x:v>sourced</x:v>
      </x:c>
      <x:c r="F80" s="29" t="str">
        <x:v>DepreciationDepletionAndAmortization</x:v>
      </x:c>
      <x:c r="G80" s="29" t="str">
        <x:v>{"entry": {"accn": "0001402057-26-000065", "end": "2026-06-30", "filed": "2026-08-05", "form": "10-Q", "fp": "Q2", "fy": 2026, "start": "2026-01-01", "val": 150200000}, "namespace": "us-gaap", "tag": "DepreciationDepletionAndAmortization", "unit": "USD"}</x:v>
      </x:c>
    </x:row>
    <x:row r="81" ht="112" customHeight="1">
      <x:c r="A81" s="26" t="str">
        <x:v>input:da:earlier_fy_end</x:v>
      </x:c>
      <x:c r="B81" s="38" t="n">
        <x:f>IF(AND(ISNUMBER(C81),ISNUMBER(D81)),C81*D81/1000000,"缺少資料")</x:f>
        <x:v>275.3</x:v>
      </x:c>
      <x:c r="C81" s="39" t="n">
        <x:v>275300000</x:v>
      </x:c>
      <x:c r="D81" s="39" t="n">
        <x:v>1</x:v>
      </x:c>
      <x:c r="E81" s="26" t="str">
        <x:v>sourced</x:v>
      </x:c>
      <x:c r="F81" s="29" t="str">
        <x:v>DepreciationDepletionAndAmortization</x:v>
      </x:c>
      <x:c r="G81" s="29" t="str">
        <x:v>{"entry": {"accn": "0001402057-25-000018", "end": "2024-12-31", "filed": "2025-02-21", "form": "10-K", "fp": "FY", "fy": 2024, "start": "2024-01-01", "val": 275300000}, "namespace": "us-gaap", "tag": "DepreciationDepletionAndAmortization", "unit": "USD"}; {"entry": {"accn": "0001402057-26-000011", "end": "2024-12-31", "filed": "2026-02-20", "form": "10-K", "fp": "FY", "frame": "CY2024", "fy": 2025, "start": "2024-01-01", "val": 275300000}, "namespace": "us-gaap", "tag": "DepreciationDepletionAndAmortization", "unit": "USD"}</x:v>
      </x:c>
    </x:row>
    <x:row r="82" ht="56" customHeight="1">
      <x:c r="A82" s="26" t="str">
        <x:v>input:da:latest_fy_end</x:v>
      </x:c>
      <x:c r="B82" s="38" t="n">
        <x:f>IF(AND(ISNUMBER(C82),ISNUMBER(D82)),C82*D82/1000000,"缺少資料")</x:f>
        <x:v>295.6</x:v>
      </x:c>
      <x:c r="C82" s="39" t="n">
        <x:v>295600000</x:v>
      </x:c>
      <x:c r="D82" s="39" t="n">
        <x:v>1</x:v>
      </x:c>
      <x:c r="E82" s="26" t="str">
        <x:v>sourced</x:v>
      </x:c>
      <x:c r="F82" s="29" t="str">
        <x:v>DepreciationDepletionAndAmortization</x:v>
      </x:c>
      <x:c r="G82" s="29" t="str">
        <x:v>{"entry": {"accn": "0001402057-26-000011", "end": "2025-12-31", "filed": "2026-02-20", "form": "10-K", "fp": "FY", "frame": "CY2025", "fy": 2025, "start": "2025-01-01", "val": 295600000}, "namespace": "us-gaap", "tag": "DepreciationDepletionAndAmortization", "unit": "USD"}</x:v>
      </x:c>
    </x:row>
    <x:row r="83" ht="98" customHeight="1">
      <x:c r="A83" s="26" t="str">
        <x:v>input:da:prior_interim</x:v>
      </x:c>
      <x:c r="B83" s="38" t="n">
        <x:f>IF(AND(ISNUMBER(C83),ISNUMBER(D83)),C83*D83/1000000,"缺少資料")</x:f>
        <x:v>148.2</x:v>
      </x:c>
      <x:c r="C83" s="39" t="n">
        <x:v>148200000</x:v>
      </x:c>
      <x:c r="D83" s="39" t="n">
        <x:v>1</x:v>
      </x:c>
      <x:c r="E83" s="26" t="str">
        <x:v>sourced</x:v>
      </x:c>
      <x:c r="F83" s="29" t="str">
        <x:v>DepreciationDepletionAndAmortization</x:v>
      </x:c>
      <x:c r="G83" s="29" t="str">
        <x:v>{"entry": {"accn": "0001402057-25-000145", "end": "2025-06-30", "filed": "2025-08-06", "form": "10-Q", "fp": "Q2", "fy": 2025, "start": "2025-01-01", "val": 148200000}, "namespace": "us-gaap", "tag": "DepreciationDepletionAndAmortization", "unit": "USD"}; {"entry": {"accn": "0001402057-26-000065", "end": "2025-06-30", "filed": "2026-08-05", "form": "10-Q", "fp": "Q2", "fy": 2026, "start": "2025-01-01", "val": 148200000}, "namespace": "us-gaap", "tag": "DepreciationDepletionAndAmortization", "unit": "USD"}</x:v>
      </x:c>
    </x:row>
    <x:row r="84" ht="30" customHeight="1">
      <x:c r="A84" s="26" t="str">
        <x:v>input:net_worth:current_interim</x:v>
      </x:c>
      <x:c r="B84" s="38" t="n">
        <x:f>IF(AND(ISNUMBER(C84),ISNUMBER(D84)),C84*D84/1000000,"缺少資料")</x:f>
        <x:v>2442.1</x:v>
      </x:c>
      <x:c r="C84" s="39" t="n">
        <x:v>2442100000</x:v>
      </x:c>
      <x:c r="D84" s="39" t="n">
        <x:v>1</x:v>
      </x:c>
      <x:c r="E84" s="26" t="str">
        <x:v>sourced</x:v>
      </x:c>
      <x:c r="F84" s="29" t="str">
        <x:v>Verified source Net Worth</x:v>
      </x:c>
      <x:c r="G84" s="29" t="str">
        <x:v>Consolidated balance sheet, total stockholders equity; assets minus total liabilities reconciled; no goodwill deduction</x:v>
      </x:c>
    </x:row>
    <x:row r="85" ht="30" customHeight="1">
      <x:c r="A85" s="26" t="str">
        <x:v>input:net_worth:earlier_fy_end</x:v>
      </x:c>
      <x:c r="B85" s="38" t="n">
        <x:f>IF(AND(ISNUMBER(C85),ISNUMBER(D85)),C85*D85/1000000,"缺少資料")</x:f>
        <x:v>2352.7</x:v>
      </x:c>
      <x:c r="C85" s="39" t="n">
        <x:v>2352700000</x:v>
      </x:c>
      <x:c r="D85" s="39" t="n">
        <x:v>1</x:v>
      </x:c>
      <x:c r="E85" s="26" t="str">
        <x:v>sourced</x:v>
      </x:c>
      <x:c r="F85" s="29" t="str">
        <x:v>Verified source Net Worth</x:v>
      </x:c>
      <x:c r="G85" s="29" t="str">
        <x:v>Consolidated balance sheet, total stockholders equity; assets minus total liabilities reconciled; no goodwill deduction</x:v>
      </x:c>
    </x:row>
    <x:row r="86" ht="30" customHeight="1">
      <x:c r="A86" s="26" t="str">
        <x:v>input:net_worth:latest_fy_end</x:v>
      </x:c>
      <x:c r="B86" s="38" t="n">
        <x:f>IF(AND(ISNUMBER(C86),ISNUMBER(D86)),C86*D86/1000000,"缺少資料")</x:f>
        <x:v>2606.1</x:v>
      </x:c>
      <x:c r="C86" s="39" t="n">
        <x:v>2606100000</x:v>
      </x:c>
      <x:c r="D86" s="39" t="n">
        <x:v>1</x:v>
      </x:c>
      <x:c r="E86" s="26" t="str">
        <x:v>sourced</x:v>
      </x:c>
      <x:c r="F86" s="29" t="str">
        <x:v>Verified source Net Worth</x:v>
      </x:c>
      <x:c r="G86" s="29" t="str">
        <x:v>Consolidated balance sheet, total stockholders equity; assets minus total liabilities reconciled; no goodwill deduction</x:v>
      </x:c>
    </x:row>
    <x:row r="87" ht="30" customHeight="1">
      <x:c r="A87" s="26" t="str">
        <x:v>input:net_worth:prior_interim</x:v>
      </x:c>
      <x:c r="B87" s="38" t="n">
        <x:f>IF(AND(ISNUMBER(C87),ISNUMBER(D87)),C87*D87/1000000,"缺少資料")</x:f>
        <x:v>2467.2</x:v>
      </x:c>
      <x:c r="C87" s="39" t="n">
        <x:v>2467200000</x:v>
      </x:c>
      <x:c r="D87" s="39" t="n">
        <x:v>1</x:v>
      </x:c>
      <x:c r="E87" s="26" t="str">
        <x:v>sourced</x:v>
      </x:c>
      <x:c r="F87" s="29" t="str">
        <x:v>Verified source Net Worth</x:v>
      </x:c>
      <x:c r="G87" s="29" t="str">
        <x:v>Consolidated balance sheet, total stockholders equity; assets minus total liabilities reconciled; no goodwill deduction</x:v>
      </x:c>
    </x:row>
    <x:row r="88" ht="30" customHeight="1">
      <x:c r="A88" s="26" t="str">
        <x:v>input:quick_assets:current_interim</x:v>
      </x:c>
      <x:c r="B88" s="38" t="str">
        <x:v>缺少資料</x:v>
      </x:c>
      <x:c r="C88" s="39"/>
      <x:c r="D88" s="39"/>
      <x:c r="E88" s="26" t="str">
        <x:v>缺少資料</x:v>
      </x:c>
      <x:c r="F88" s="29" t="str">
        <x:v>No matching source in the reviewed inputs; not a claim of non-disclosure</x:v>
      </x:c>
      <x:c r="G88" s="29" t="str"/>
    </x:row>
    <x:row r="89" ht="30" customHeight="1">
      <x:c r="A89" s="26" t="str">
        <x:v>input:quick_assets:earlier_fy_end</x:v>
      </x:c>
      <x:c r="B89" s="38" t="str">
        <x:v>缺少資料</x:v>
      </x:c>
      <x:c r="C89" s="39"/>
      <x:c r="D89" s="39"/>
      <x:c r="E89" s="26" t="str">
        <x:v>缺少資料</x:v>
      </x:c>
      <x:c r="F89" s="29" t="str">
        <x:v>No matching source in the reviewed inputs; not a claim of non-disclosure</x:v>
      </x:c>
      <x:c r="G89" s="29" t="str"/>
    </x:row>
    <x:row r="90" ht="30" customHeight="1">
      <x:c r="A90" s="26" t="str">
        <x:v>input:quick_assets:latest_fy_end</x:v>
      </x:c>
      <x:c r="B90" s="38" t="str">
        <x:v>缺少資料</x:v>
      </x:c>
      <x:c r="C90" s="39"/>
      <x:c r="D90" s="39"/>
      <x:c r="E90" s="26" t="str">
        <x:v>缺少資料</x:v>
      </x:c>
      <x:c r="F90" s="29" t="str">
        <x:v>No matching source in the reviewed inputs; not a claim of non-disclosure</x:v>
      </x:c>
      <x:c r="G90" s="29" t="str"/>
    </x:row>
    <x:row r="91" ht="30" customHeight="1">
      <x:c r="A91" s="26" t="str">
        <x:v>input:quick_assets:prior_interim</x:v>
      </x:c>
      <x:c r="B91" s="38" t="str">
        <x:v>缺少資料</x:v>
      </x:c>
      <x:c r="C91" s="39"/>
      <x:c r="D91" s="39"/>
      <x:c r="E91" s="26" t="str">
        <x:v>缺少資料</x:v>
      </x:c>
      <x:c r="F91" s="29" t="str">
        <x:v>No matching source in the reviewed inputs; not a claim of non-disclosure</x:v>
      </x:c>
      <x:c r="G91" s="29" t="str"/>
    </x:row>
    <x:row r="92" ht="30" customHeight="1">
      <x:c r="A92" s="26" t="str">
        <x:v>input:total_liabilities:current_interim</x:v>
      </x:c>
      <x:c r="B92" s="38" t="n">
        <x:f>IF(AND(ISNUMBER(C92),ISNUMBER(D92)),C92*D92/1000000,"缺少資料")</x:f>
        <x:v>14812.7</x:v>
      </x:c>
      <x:c r="C92" s="39" t="n">
        <x:v>14812700000</x:v>
      </x:c>
      <x:c r="D92" s="39" t="n">
        <x:v>1</x:v>
      </x:c>
      <x:c r="E92" s="26" t="str">
        <x:v>sourced</x:v>
      </x:c>
      <x:c r="F92" s="29" t="str">
        <x:v>Verified source Total Liabilities</x:v>
      </x:c>
      <x:c r="G92" s="29" t="str">
        <x:v>Consolidated balance sheet, current liabilities plus noncurrent liabilities; independently reconciled to assets minus equity</x:v>
      </x:c>
    </x:row>
    <x:row r="93" ht="30" customHeight="1">
      <x:c r="A93" s="26" t="str">
        <x:v>input:total_liabilities:earlier_fy_end</x:v>
      </x:c>
      <x:c r="B93" s="38" t="n">
        <x:f>IF(AND(ISNUMBER(C93),ISNUMBER(D93)),C93*D93/1000000,"缺少資料")</x:f>
        <x:v>12325.7</x:v>
      </x:c>
      <x:c r="C93" s="39" t="n">
        <x:v>12325700000</x:v>
      </x:c>
      <x:c r="D93" s="39" t="n">
        <x:v>1</x:v>
      </x:c>
      <x:c r="E93" s="26" t="str">
        <x:v>sourced</x:v>
      </x:c>
      <x:c r="F93" s="29" t="str">
        <x:v>Verified source Total Liabilities</x:v>
      </x:c>
      <x:c r="G93" s="29" t="str">
        <x:v>Consolidated balance sheet, current liabilities plus noncurrent liabilities; independently reconciled to assets minus equity</x:v>
      </x:c>
    </x:row>
    <x:row r="94" ht="30" customHeight="1">
      <x:c r="A94" s="26" t="str">
        <x:v>input:total_liabilities:latest_fy_end</x:v>
      </x:c>
      <x:c r="B94" s="38" t="n">
        <x:f>IF(AND(ISNUMBER(C94),ISNUMBER(D94)),C94*D94/1000000,"缺少資料")</x:f>
        <x:v>13422.1</x:v>
      </x:c>
      <x:c r="C94" s="39" t="n">
        <x:v>13422100000</x:v>
      </x:c>
      <x:c r="D94" s="39" t="n">
        <x:v>1</x:v>
      </x:c>
      <x:c r="E94" s="26" t="str">
        <x:v>sourced</x:v>
      </x:c>
      <x:c r="F94" s="29" t="str">
        <x:v>Verified source Total Liabilities</x:v>
      </x:c>
      <x:c r="G94" s="29" t="str">
        <x:v>Consolidated balance sheet, current liabilities plus noncurrent liabilities; independently reconciled to assets minus equity</x:v>
      </x:c>
    </x:row>
    <x:row r="95" ht="30" customHeight="1">
      <x:c r="A95" s="26" t="str">
        <x:v>input:total_liabilities:prior_interim</x:v>
      </x:c>
      <x:c r="B95" s="38" t="n">
        <x:f>IF(AND(ISNUMBER(C95),ISNUMBER(D95)),C95*D95/1000000,"缺少資料")</x:f>
        <x:v>12798.5</x:v>
      </x:c>
      <x:c r="C95" s="39" t="n">
        <x:v>12798500000</x:v>
      </x:c>
      <x:c r="D95" s="39" t="n">
        <x:v>1</x:v>
      </x:c>
      <x:c r="E95" s="26" t="str">
        <x:v>sourced</x:v>
      </x:c>
      <x:c r="F95" s="29" t="str">
        <x:v>Verified source Total Liabilities</x:v>
      </x:c>
      <x:c r="G95" s="29" t="str">
        <x:v>Consolidated balance sheet, current liabilities plus noncurrent liabilities; independently reconciled to assets minus equity</x:v>
      </x:c>
    </x:row>
    <x:row r="96" ht="30" customHeight="1">
      <x:c r="A96" s="26" t="str">
        <x:v>revenue_growth:earlier_fy_end</x:v>
      </x:c>
      <x:c r="B96" s="40" t="str">
        <x:v>無法計算／待確認</x:v>
      </x:c>
      <x:c r="C96" s="39"/>
      <x:c r="D96" s="39"/>
      <x:c r="E96" s="26" t="str">
        <x:v>無法計算／待確認</x:v>
      </x:c>
      <x:c r="F96" s="29" t="str">
        <x:v>Required inputs unavailable</x:v>
      </x:c>
      <x:c r="G96" s="29" t="str"/>
    </x:row>
    <x:row r="97" ht="30" customHeight="1">
      <x:c r="A97" s="26" t="str">
        <x:v>gross_margin:earlier_fy_end</x:v>
      </x:c>
      <x:c r="B97" s="40" t="str">
        <x:v>無法計算／待確認</x:v>
      </x:c>
      <x:c r="C97" s="39"/>
      <x:c r="D97" s="39"/>
      <x:c r="E97" s="26" t="str">
        <x:v>無法計算／待確認</x:v>
      </x:c>
      <x:c r="F97" s="29" t="str">
        <x:v>Required inputs unavailable</x:v>
      </x:c>
      <x:c r="G97" s="29" t="str"/>
    </x:row>
    <x:row r="98" ht="30" customHeight="1">
      <x:c r="A98" s="26" t="str">
        <x:v>operating_margin:earlier_fy_end</x:v>
      </x:c>
      <x:c r="B98" s="40" t="str">
        <x:v>無法計算／待確認</x:v>
      </x:c>
      <x:c r="C98" s="39"/>
      <x:c r="D98" s="39"/>
      <x:c r="E98" s="26" t="str">
        <x:v>無法計算／待確認</x:v>
      </x:c>
      <x:c r="F98" s="29" t="str">
        <x:v>Required inputs unavailable</x:v>
      </x:c>
      <x:c r="G98" s="29" t="str"/>
    </x:row>
    <x:row r="99" ht="30" customHeight="1">
      <x:c r="A99" s="26" t="str">
        <x:v>pretax_margin:earlier_fy_end</x:v>
      </x:c>
      <x:c r="B99" s="40" t="str">
        <x:v>無法計算／待確認</x:v>
      </x:c>
      <x:c r="C99" s="39"/>
      <x:c r="D99" s="39"/>
      <x:c r="E99" s="26" t="str">
        <x:v>無法計算／待確認</x:v>
      </x:c>
      <x:c r="F99" s="29" t="str">
        <x:v>Required inputs unavailable</x:v>
      </x:c>
      <x:c r="G99" s="29" t="str"/>
    </x:row>
    <x:row r="100" ht="30" customHeight="1">
      <x:c r="A100" s="26" t="str">
        <x:v>operating_margin_change:earlier_fy_end</x:v>
      </x:c>
      <x:c r="B100" s="40" t="str">
        <x:v>無法計算／待確認</x:v>
      </x:c>
      <x:c r="C100" s="39"/>
      <x:c r="D100" s="39"/>
      <x:c r="E100" s="26" t="str">
        <x:v>無法計算／待確認</x:v>
      </x:c>
      <x:c r="F100" s="29" t="str">
        <x:v>Required inputs unavailable</x:v>
      </x:c>
      <x:c r="G100" s="29" t="str"/>
    </x:row>
    <x:row r="101" ht="30" customHeight="1">
      <x:c r="A101" s="26" t="str">
        <x:v>revenue_growth:prior_interim</x:v>
      </x:c>
      <x:c r="B101" s="40" t="str">
        <x:v>無法計算／待確認</x:v>
      </x:c>
      <x:c r="C101" s="39"/>
      <x:c r="D101" s="39"/>
      <x:c r="E101" s="26" t="str">
        <x:v>無法計算／待確認</x:v>
      </x:c>
      <x:c r="F101" s="29" t="str">
        <x:v>Required inputs unavailable</x:v>
      </x:c>
      <x:c r="G101" s="29" t="str"/>
    </x:row>
    <x:row r="102" ht="30" customHeight="1">
      <x:c r="A102" s="26" t="str">
        <x:v>gross_margin:prior_interim</x:v>
      </x:c>
      <x:c r="B102" s="40" t="n">
        <x:f>IF(AND(ISNUMBER(B12),ISNUMBER(B4)),IF(B4=0,"無法計算",B12/B4),"缺少資料")</x:f>
        <x:v>0.21148563400950274</x:v>
      </x:c>
      <x:c r="C102" s="39"/>
      <x:c r="D102" s="39"/>
      <x:c r="E102" s="26" t="str">
        <x:v>calculated</x:v>
      </x:c>
      <x:c r="F102" s="29" t="str">
        <x:v>Gross Profit / Revenues</x:v>
      </x:c>
      <x:c r="G102" s="29" t="str"/>
    </x:row>
    <x:row r="103" ht="30" customHeight="1">
      <x:c r="A103" s="26" t="str">
        <x:v>operating_margin:prior_interim</x:v>
      </x:c>
      <x:c r="B103" s="40" t="n">
        <x:f>IF(AND(ISNUMBER(B20),ISNUMBER(B4)),IF(B4=0,"無法計算",B20/B4),"缺少資料")</x:f>
        <x:v>0.06993745358232593</x:v>
      </x:c>
      <x:c r="C103" s="39"/>
      <x:c r="D103" s="39"/>
      <x:c r="E103" s="26" t="str">
        <x:v>calculated</x:v>
      </x:c>
      <x:c r="F103" s="29" t="str">
        <x:v>Operating Profit / Revenues</x:v>
      </x:c>
      <x:c r="G103" s="29" t="str"/>
    </x:row>
    <x:row r="104" ht="30" customHeight="1">
      <x:c r="A104" s="26" t="str">
        <x:v>pretax_margin:prior_interim</x:v>
      </x:c>
      <x:c r="B104" s="40" t="n">
        <x:f>IF(AND(ISNUMBER(B28),ISNUMBER(B4)),IF(B4=0,"無法計算",B28/B4),"缺少資料")</x:f>
        <x:v>0.0598530740803708</x:v>
      </x:c>
      <x:c r="C104" s="39"/>
      <x:c r="D104" s="39"/>
      <x:c r="E104" s="26" t="str">
        <x:v>calculated</x:v>
      </x:c>
      <x:c r="F104" s="29" t="str">
        <x:v>Pre-tax Profit / Revenues</x:v>
      </x:c>
      <x:c r="G104" s="29" t="str"/>
    </x:row>
    <x:row r="105" ht="30" customHeight="1">
      <x:c r="A105" s="26" t="str">
        <x:v>operating_margin_change:prior_interim</x:v>
      </x:c>
      <x:c r="B105" s="40" t="str">
        <x:v>無法計算／待確認</x:v>
      </x:c>
      <x:c r="C105" s="39"/>
      <x:c r="D105" s="39"/>
      <x:c r="E105" s="26" t="str">
        <x:v>無法計算／待確認</x:v>
      </x:c>
      <x:c r="F105" s="29" t="str">
        <x:v>Required inputs unavailable</x:v>
      </x:c>
      <x:c r="G105" s="29" t="str"/>
    </x:row>
    <x:row r="106" ht="30" customHeight="1">
      <x:c r="A106" s="26" t="str">
        <x:v>revenue_growth:latest_fy_end</x:v>
      </x:c>
      <x:c r="B106" s="40" t="str">
        <x:v>無法計算／待確認</x:v>
      </x:c>
      <x:c r="C106" s="39"/>
      <x:c r="D106" s="39"/>
      <x:c r="E106" s="26" t="str">
        <x:v>無法計算／待確認</x:v>
      </x:c>
      <x:c r="F106" s="29" t="str">
        <x:v>Required inputs unavailable</x:v>
      </x:c>
      <x:c r="G106" s="29" t="str"/>
    </x:row>
    <x:row r="107" ht="30" customHeight="1">
      <x:c r="A107" s="26" t="str">
        <x:v>gross_margin:latest_fy_end</x:v>
      </x:c>
      <x:c r="B107" s="40" t="str">
        <x:v>無法計算／待確認</x:v>
      </x:c>
      <x:c r="C107" s="39"/>
      <x:c r="D107" s="39"/>
      <x:c r="E107" s="26" t="str">
        <x:v>無法計算／待確認</x:v>
      </x:c>
      <x:c r="F107" s="29" t="str">
        <x:v>Required inputs unavailable</x:v>
      </x:c>
      <x:c r="G107" s="29" t="str"/>
    </x:row>
    <x:row r="108" ht="30" customHeight="1">
      <x:c r="A108" s="26" t="str">
        <x:v>operating_margin:latest_fy_end</x:v>
      </x:c>
      <x:c r="B108" s="40" t="str">
        <x:v>無法計算／待確認</x:v>
      </x:c>
      <x:c r="C108" s="39"/>
      <x:c r="D108" s="39"/>
      <x:c r="E108" s="26" t="str">
        <x:v>無法計算／待確認</x:v>
      </x:c>
      <x:c r="F108" s="29" t="str">
        <x:v>Required inputs unavailable</x:v>
      </x:c>
      <x:c r="G108" s="29" t="str"/>
    </x:row>
    <x:row r="109" ht="30" customHeight="1">
      <x:c r="A109" s="26" t="str">
        <x:v>pretax_margin:latest_fy_end</x:v>
      </x:c>
      <x:c r="B109" s="40" t="str">
        <x:v>無法計算／待確認</x:v>
      </x:c>
      <x:c r="C109" s="39"/>
      <x:c r="D109" s="39"/>
      <x:c r="E109" s="26" t="str">
        <x:v>無法計算／待確認</x:v>
      </x:c>
      <x:c r="F109" s="29" t="str">
        <x:v>Required inputs unavailable</x:v>
      </x:c>
      <x:c r="G109" s="29" t="str"/>
    </x:row>
    <x:row r="110" ht="30" customHeight="1">
      <x:c r="A110" s="26" t="str">
        <x:v>operating_margin_change:latest_fy_end</x:v>
      </x:c>
      <x:c r="B110" s="40" t="str">
        <x:v>無法計算／待確認</x:v>
      </x:c>
      <x:c r="C110" s="39"/>
      <x:c r="D110" s="39"/>
      <x:c r="E110" s="26" t="str">
        <x:v>無法計算／待確認</x:v>
      </x:c>
      <x:c r="F110" s="29" t="str">
        <x:v>Required inputs unavailable</x:v>
      </x:c>
      <x:c r="G110" s="29" t="str"/>
    </x:row>
    <x:row r="111" ht="30" customHeight="1">
      <x:c r="A111" s="26" t="str">
        <x:v>revenue_growth:current_interim</x:v>
      </x:c>
      <x:c r="B111" s="40" t="n">
        <x:f>IF(AND(ISNUMBER(B6),ISNUMBER(B4)),IF(B4=0,"無法計算",(B6-B4)/B4),"缺少資料")</x:f>
        <x:v>0.09630716644147563</x:v>
      </x:c>
      <x:c r="C111" s="39"/>
      <x:c r="D111" s="39"/>
      <x:c r="E111" s="26" t="str">
        <x:v>calculated</x:v>
      </x:c>
      <x:c r="F111" s="29" t="str">
        <x:v>(Current Year Revenues - Previous Year Revenues) / Previous Year Revenues</x:v>
      </x:c>
      <x:c r="G111" s="29" t="str"/>
    </x:row>
    <x:row r="112" ht="30" customHeight="1">
      <x:c r="A112" s="26" t="str">
        <x:v>gross_margin:current_interim</x:v>
      </x:c>
      <x:c r="B112" s="40" t="n">
        <x:f>IF(AND(ISNUMBER(B14),ISNUMBER(B6)),IF(B6=0,"無法計算",B14/B6),"缺少資料")</x:f>
        <x:v>0.20484818805093047</x:v>
      </x:c>
      <x:c r="C112" s="39"/>
      <x:c r="D112" s="39"/>
      <x:c r="E112" s="26" t="str">
        <x:v>calculated</x:v>
      </x:c>
      <x:c r="F112" s="29" t="str">
        <x:v>Gross Profit / Revenues</x:v>
      </x:c>
      <x:c r="G112" s="29" t="str"/>
    </x:row>
    <x:row r="113" ht="30" customHeight="1">
      <x:c r="A113" s="26" t="str">
        <x:v>operating_margin:current_interim</x:v>
      </x:c>
      <x:c r="B113" s="40" t="n">
        <x:f>IF(AND(ISNUMBER(B22),ISNUMBER(B6)),IF(B6=0,"無法計算",B22/B6),"缺少資料")</x:f>
        <x:v>0.06567091087169442</x:v>
      </x:c>
      <x:c r="C113" s="39"/>
      <x:c r="D113" s="39"/>
      <x:c r="E113" s="26" t="str">
        <x:v>calculated</x:v>
      </x:c>
      <x:c r="F113" s="29" t="str">
        <x:v>Operating Profit / Revenues</x:v>
      </x:c>
      <x:c r="G113" s="29" t="str"/>
    </x:row>
    <x:row r="114" ht="30" customHeight="1">
      <x:c r="A114" s="26" t="str">
        <x:v>pretax_margin:current_interim</x:v>
      </x:c>
      <x:c r="B114" s="40" t="n">
        <x:f>IF(AND(ISNUMBER(B30),ISNUMBER(B6)),IF(B6=0,"無法計算",B30/B6),"缺少資料")</x:f>
        <x:v>0.05647241266731962</x:v>
      </x:c>
      <x:c r="C114" s="39"/>
      <x:c r="D114" s="39"/>
      <x:c r="E114" s="26" t="str">
        <x:v>calculated</x:v>
      </x:c>
      <x:c r="F114" s="29" t="str">
        <x:v>Pre-tax Profit / Revenues</x:v>
      </x:c>
      <x:c r="G114" s="29" t="str"/>
    </x:row>
    <x:row r="115" ht="30" customHeight="1">
      <x:c r="A115" s="26" t="str">
        <x:v>operating_margin_change:current_interim</x:v>
      </x:c>
      <x:c r="B115" s="40" t="n">
        <x:f>IF(AND(ISNUMBER(B113),ISNUMBER(B103)),B113-B103,"缺少資料")</x:f>
        <x:v>-0.00426654271063151</x:v>
      </x:c>
      <x:c r="C115" s="39"/>
      <x:c r="D115" s="39"/>
      <x:c r="E115" s="26" t="str">
        <x:v>calculated</x:v>
      </x:c>
      <x:c r="F115" s="29" t="str">
        <x:v>Current Operating Profit Margin - Previous Operating Profit Margin</x:v>
      </x:c>
      <x:c r="G115" s="29" t="str"/>
    </x:row>
    <x:row r="116">
      <x:c r="A116" s="26"/>
      <x:c r="B116" s="26"/>
      <x:c r="C116" s="26"/>
      <x:c r="D116" s="26"/>
      <x:c r="E116" s="26"/>
      <x:c r="F116" s="26"/>
      <x:c r="G116" s="26"/>
    </x:row>
    <x:row r="117">
      <x:c r="A117" s="26"/>
      <x:c r="B117" s="26"/>
      <x:c r="C117" s="26"/>
      <x:c r="D117" s="26"/>
      <x:c r="E117" s="26"/>
      <x:c r="F117" s="26"/>
      <x:c r="G117" s="26"/>
    </x:row>
    <x:row r="118">
      <x:c r="A118" s="42" t="str">
        <x:v>Evidence ID</x:v>
      </x:c>
      <x:c r="B118" s="42" t="str">
        <x:v>種類</x:v>
      </x:c>
      <x:c r="C118" s="42" t="str">
        <x:v>Source ID</x:v>
      </x:c>
      <x:c r="D118" s="42" t="str">
        <x:v>版本</x:v>
      </x:c>
      <x:c r="E118" s="42" t="str">
        <x:v>文件日期</x:v>
      </x:c>
      <x:c r="F118" s="42" t="str">
        <x:v>來源位置</x:v>
      </x:c>
      <x:c r="G118" s="42" t="str">
        <x:v>原始證據內容</x:v>
      </x:c>
    </x:row>
    <x:row r="119" ht="70" customHeight="1">
      <x:c r="A119" s="29" t="str">
        <x:v>calendar:earlier_fy_end</x:v>
      </x:c>
      <x:c r="B119" s="29" t="str">
        <x:v>calendar</x:v>
      </x:c>
      <x:c r="C119" s="29" t="str">
        <x:v>0001402057-25-000018</x:v>
      </x:c>
      <x:c r="D119" s="29" t="str">
        <x:v>0001402057-25-000018</x:v>
      </x:c>
      <x:c r="E119" s="29" t="str">
        <x:v>2025-02-21</x:v>
      </x:c>
      <x:c r="F119" s="29" t="str">
        <x:v>SEC companyfacts revenue exact fiscal/YTD duration and SEC submissions reportDate</x:v>
      </x:c>
      <x:c r="G119" s="29" t="str">
        <x:v>[{"start": "2024-01-01", "end": "2024-12-31", "val": 20998700000, "accn": "0001402057-25-000018", "fy": 2024, "fp": "FY", "form": "10-K", "filed": "2025-02-21"}, {"start": "2024-01-01", "end": "2024-12-31", "val": 20998700000, "accn": "0001402057-26-000011", "fy": 2025, "fp": "FY", "form": "10-K", "filed": "2026-02-20", "frame": "CY2024"}]</x:v>
      </x:c>
    </x:row>
    <x:row r="120" ht="70" customHeight="1">
      <x:c r="A120" s="29" t="str">
        <x:v>calendar:prior_interim</x:v>
      </x:c>
      <x:c r="B120" s="29" t="str">
        <x:v>calendar</x:v>
      </x:c>
      <x:c r="C120" s="29" t="str">
        <x:v>0001402057-25-000145</x:v>
      </x:c>
      <x:c r="D120" s="29" t="str">
        <x:v>0001402057-25-000145</x:v>
      </x:c>
      <x:c r="E120" s="29" t="str">
        <x:v>2025-08-06</x:v>
      </x:c>
      <x:c r="F120" s="29" t="str">
        <x:v>SEC companyfacts revenue exact fiscal/YTD duration and SEC submissions reportDate</x:v>
      </x:c>
      <x:c r="G120" s="29" t="str">
        <x:v>[{"start": "2025-01-01", "end": "2025-06-30", "val": 11175700000, "accn": "0001402057-25-000145", "fy": 2025, "fp": "Q2", "form": "10-Q", "filed": "2025-08-06"}, {"start": "2025-01-01", "end": "2025-06-30", "val": 11175700000, "accn": "0001402057-26-000065", "fy": 2026, "fp": "Q2", "form": "10-Q", "filed": "2026-08-05"}]</x:v>
      </x:c>
    </x:row>
    <x:row r="121" ht="42" customHeight="1">
      <x:c r="A121" s="29" t="str">
        <x:v>calendar:latest_fy_end</x:v>
      </x:c>
      <x:c r="B121" s="29" t="str">
        <x:v>calendar</x:v>
      </x:c>
      <x:c r="C121" s="29" t="str">
        <x:v>0001402057-26-000011</x:v>
      </x:c>
      <x:c r="D121" s="29" t="str">
        <x:v>0001402057-26-000011</x:v>
      </x:c>
      <x:c r="E121" s="29" t="str">
        <x:v>2026-02-20</x:v>
      </x:c>
      <x:c r="F121" s="29" t="str">
        <x:v>SEC companyfacts revenue exact fiscal/YTD duration and SEC submissions reportDate</x:v>
      </x:c>
      <x:c r="G121" s="29" t="str">
        <x:v>[{"start": "2025-01-01", "end": "2025-12-31", "val": 22424100000, "accn": "0001402057-26-000011", "fy": 2025, "fp": "FY", "form": "10-K", "filed": "2026-02-20", "frame": "CY2025"}]</x:v>
      </x:c>
    </x:row>
    <x:row r="122" ht="42" customHeight="1">
      <x:c r="A122" s="29" t="str">
        <x:v>calendar:current_interim</x:v>
      </x:c>
      <x:c r="B122" s="29" t="str">
        <x:v>calendar</x:v>
      </x:c>
      <x:c r="C122" s="29" t="str">
        <x:v>0001402057-26-000065</x:v>
      </x:c>
      <x:c r="D122" s="29" t="str">
        <x:v>0001402057-26-000065</x:v>
      </x:c>
      <x:c r="E122" s="29" t="str">
        <x:v>2026-08-05</x:v>
      </x:c>
      <x:c r="F122" s="29" t="str">
        <x:v>SEC companyfacts revenue exact fiscal/YTD duration and SEC submissions reportDate</x:v>
      </x:c>
      <x:c r="G122" s="29" t="str">
        <x:v>[{"start": "2026-01-01", "end": "2026-06-30", "val": 12252000000, "accn": "0001402057-26-000065", "fy": 2026, "fp": "Q2", "form": "10-Q", "filed": "2026-08-05"}]</x:v>
      </x:c>
    </x:row>
    <x:row r="123" ht="42" customHeight="1">
      <x:c r="A123" s="29" t="str">
        <x:v>approval:user-approved-2026-10-24:DEC-01</x:v>
      </x:c>
      <x:c r="B123" s="29" t="str">
        <x:v>definition</x:v>
      </x:c>
      <x:c r="C123" s="29" t="str">
        <x:v>user-approved-policy</x:v>
      </x:c>
      <x:c r="D123" s="29" t="str">
        <x:v>user-approved-2026-10-24</x:v>
      </x:c>
      <x:c r="E123" s="29" t="str">
        <x:v>2026-10-24</x:v>
      </x:c>
      <x:c r="F123" s="29" t="str">
        <x:v>references/loan-review-acceptance-spec-v1.0.md#9.1-9.2</x:v>
      </x:c>
      <x:c r="G123" s="29" t="str">
        <x:v>Unrestricted cash and equivalents + liquid short-term investments + net receivables; no inventory, prepayments, restricted cash or duplicate investments</x:v>
      </x:c>
    </x:row>
    <x:row r="124" ht="42" customHeight="1">
      <x:c r="A124" s="29" t="str">
        <x:v>approval:user-approved-2026-10-24:DEC-02</x:v>
      </x:c>
      <x:c r="B124" s="29" t="str">
        <x:v>definition</x:v>
      </x:c>
      <x:c r="C124" s="29" t="str">
        <x:v>user-approved-policy</x:v>
      </x:c>
      <x:c r="D124" s="29" t="str">
        <x:v>user-approved-2026-10-24</x:v>
      </x:c>
      <x:c r="E124" s="29" t="str">
        <x:v>2026-10-24</x:v>
      </x:c>
      <x:c r="F124" s="29" t="str">
        <x:v>references/loan-review-acceptance-spec-v1.0.md#9.1-9.2</x:v>
      </x:c>
      <x:c r="G124" s="29" t="str">
        <x:v>Consolidated total equity including NCI; debt includes interest-bearing borrowings, bonds and finance leases, excludes operating leases; no duplicate current portions</x:v>
      </x:c>
    </x:row>
    <x:row r="125" ht="32" customHeight="1">
      <x:c r="A125" s="29" t="str">
        <x:v>approval:user-approved-2026-10-24:DEC-04</x:v>
      </x:c>
      <x:c r="B125" s="29" t="str">
        <x:v>definition</x:v>
      </x:c>
      <x:c r="C125" s="29" t="str">
        <x:v>user-approved-policy</x:v>
      </x:c>
      <x:c r="D125" s="29" t="str">
        <x:v>user-approved-2026-10-24</x:v>
      </x:c>
      <x:c r="E125" s="29" t="str">
        <x:v>2026-10-24</x:v>
      </x:c>
      <x:c r="F125" s="29" t="str">
        <x:v>references/loan-review-acceptance-spec-v1.0.md#9.1-9.2</x:v>
      </x:c>
      <x:c r="G125" s="29" t="str">
        <x:v>Opening/closing average; verified complete Months; allowance deducted once; no LTM annualization</x:v>
      </x:c>
    </x:row>
    <x:row r="126" ht="32" customHeight="1">
      <x:c r="A126" s="29" t="str">
        <x:v>approval:user-approved-2026-10-24:DEC-05</x:v>
      </x:c>
      <x:c r="B126" s="29" t="str">
        <x:v>definition</x:v>
      </x:c>
      <x:c r="C126" s="29" t="str">
        <x:v>user-approved-policy</x:v>
      </x:c>
      <x:c r="D126" s="29" t="str">
        <x:v>user-approved-2026-10-24</x:v>
      </x:c>
      <x:c r="E126" s="29" t="str">
        <x:v>2026-10-24</x:v>
      </x:c>
      <x:c r="F126" s="29" t="str">
        <x:v>references/loan-review-acceptance-spec-v1.0.md#9.1-9.2</x:v>
      </x:c>
      <x:c r="G126" s="29" t="str">
        <x:v>Gross expensed interest, without netting interest income; separately disclosed capitalized interest, no duplication</x:v>
      </x:c>
    </x:row>
    <x:row r="127" ht="32" customHeight="1">
      <x:c r="A127" s="29" t="str">
        <x:v>approval:user-approved-2026-10-24:DEC-06</x:v>
      </x:c>
      <x:c r="B127" s="29" t="str">
        <x:v>definition</x:v>
      </x:c>
      <x:c r="C127" s="29" t="str">
        <x:v>user-approved-policy</x:v>
      </x:c>
      <x:c r="D127" s="29" t="str">
        <x:v>user-approved-2026-10-24</x:v>
      </x:c>
      <x:c r="E127" s="29" t="str">
        <x:v>2026-10-24</x:v>
      </x:c>
      <x:c r="F127" s="29" t="str">
        <x:v>references/loan-review-acceptance-spec-v1.0.md#9.1-9.2</x:v>
      </x:c>
      <x:c r="G127" s="29" t="str">
        <x:v>Standard EBITDA: Net Income + Interest + Taxes + D&amp;A</x:v>
      </x:c>
    </x:row>
    <x:row r="128" ht="32" customHeight="1">
      <x:c r="A128" s="29" t="str">
        <x:v>approval:user-approved-2026-10-24:DEC-07</x:v>
      </x:c>
      <x:c r="B128" s="29" t="str">
        <x:v>definition</x:v>
      </x:c>
      <x:c r="C128" s="29" t="str">
        <x:v>user-approved-policy</x:v>
      </x:c>
      <x:c r="D128" s="29" t="str">
        <x:v>user-approved-2026-10-24</x:v>
      </x:c>
      <x:c r="E128" s="29" t="str">
        <x:v>2026-10-24</x:v>
      </x:c>
      <x:c r="F128" s="29" t="str">
        <x:v>references/loan-review-acceptance-spec-v1.0.md#9.1-9.2</x:v>
      </x:c>
      <x:c r="G128" s="29" t="str">
        <x:v>Only publicly available sources at explicit as-of; latest applicable restatement by that date; retain prior versions</x:v>
      </x:c>
    </x:row>
    <x:row r="129" ht="32" customHeight="1">
      <x:c r="A129" s="29" t="str">
        <x:v>approval:user-approved-2026-10-24:DEC-08</x:v>
      </x:c>
      <x:c r="B129" s="29" t="str">
        <x:v>definition</x:v>
      </x:c>
      <x:c r="C129" s="29" t="str">
        <x:v>user-approved-policy</x:v>
      </x:c>
      <x:c r="D129" s="29" t="str">
        <x:v>user-approved-2026-10-24</x:v>
      </x:c>
      <x:c r="E129" s="29" t="str">
        <x:v>2026-10-24</x:v>
      </x:c>
      <x:c r="F129" s="29" t="str">
        <x:v>references/loan-review-acceptance-spec-v1.0.md#9.1-9.2</x:v>
      </x:c>
      <x:c r="G129" s="29" t="str">
        <x:v>Explicit unavailable states; critical missing facts and incomplete reconciliations block final acceptance</x:v>
      </x:c>
    </x:row>
    <x:row r="130" ht="32" customHeight="1">
      <x:c r="A130" s="29" t="str">
        <x:v>approval:user-approved-2026-10-24:DEC-09</x:v>
      </x:c>
      <x:c r="B130" s="29" t="str">
        <x:v>definition</x:v>
      </x:c>
      <x:c r="C130" s="29" t="str">
        <x:v>user-approved-policy</x:v>
      </x:c>
      <x:c r="D130" s="29" t="str">
        <x:v>user-approved-2026-10-24</x:v>
      </x:c>
      <x:c r="E130" s="29" t="str">
        <x:v>2026-10-24</x:v>
      </x:c>
      <x:c r="F130" s="29" t="str">
        <x:v>references/loan-review-acceptance-spec-v1.0.md#9.1-9.2</x:v>
      </x:c>
      <x:c r="G130" s="29" t="str">
        <x:v>Millions in source currency; two decimal places; parentheses for negatives; retain original precision and scale</x:v>
      </x:c>
    </x:row>
    <x:row r="131" ht="32" customHeight="1">
      <x:c r="A131" s="29" t="str">
        <x:v>approval:user-approved-2026-10-24:DEC-10</x:v>
      </x:c>
      <x:c r="B131" s="29" t="str">
        <x:v>definition</x:v>
      </x:c>
      <x:c r="C131" s="29" t="str">
        <x:v>user-approved-policy</x:v>
      </x:c>
      <x:c r="D131" s="29" t="str">
        <x:v>user-approved-2026-10-24</x:v>
      </x:c>
      <x:c r="E131" s="29" t="str">
        <x:v>2026-10-24</x:v>
      </x:c>
      <x:c r="F131" s="29" t="str">
        <x:v>references/loan-review-acceptance-spec-v1.0.md#9.1-9.2</x:v>
      </x:c>
      <x:c r="G131" s="29" t="str">
        <x:v>Structured inputs and validated workbook adapters only; non-SEC provenance remains explicit</x:v>
      </x:c>
    </x:row>
    <x:row r="132" ht="32" customHeight="1">
      <x:c r="A132" s="29" t="str">
        <x:v>approval:user-approved-2026-10-24:DEC-11</x:v>
      </x:c>
      <x:c r="B132" s="29" t="str">
        <x:v>definition</x:v>
      </x:c>
      <x:c r="C132" s="29" t="str">
        <x:v>user-approved-policy</x:v>
      </x:c>
      <x:c r="D132" s="29" t="str">
        <x:v>user-approved-2026-10-24</x:v>
      </x:c>
      <x:c r="E132" s="29" t="str">
        <x:v>2026-10-24</x:v>
      </x:c>
      <x:c r="F132" s="29" t="str">
        <x:v>references/loan-review-acceptance-spec-v1.0.md#9.1-9.2</x:v>
      </x:c>
      <x:c r="G132" s="29" t="str">
        <x:v>Dashboard excluded from this delivery</x:v>
      </x:c>
    </x:row>
    <x:row r="133" ht="56" customHeight="1">
      <x:c r="A133" s="29" t="str">
        <x:v>sec:4665a38b7066a84df662d83ffec1dcfc737866b93e9e416ae10e25aa3aa2f684</x:v>
      </x:c>
      <x:c r="B133" s="29" t="str">
        <x:v>fact</x:v>
      </x:c>
      <x:c r="C133" s="29" t="str">
        <x:v>0001402057-26-000065</x:v>
      </x:c>
      <x:c r="D133" s="29" t="str">
        <x:v>0001402057-26-000065:2026-08-05</x:v>
      </x:c>
      <x:c r="E133" s="29" t="str">
        <x:v>2026-08-05</x:v>
      </x:c>
      <x:c r="F133" s="29" t="str">
        <x:v>{"entry": {"accn": "0001402057-26-000065", "end": "2026-06-30", "filed": "2026-08-05", "form": "10-Q", "fp": "Q2", "fy": 2026, "start": "2026-01-01", "val": 9742200000}, "namespace": "us-gaap", "tag": "CostOfGoodsAndServicesSold", "unit": "USD"}</x:v>
      </x:c>
      <x:c r="G133" s="29" t="str">
        <x:v>{"value": "9742200000", "unit": "USD", "scale": "1", "definition": "CostOfGoodsAndServicesSold", "basis": "", "excerpt": null, "source_url": "https://data.sec.gov/api/xbrl/companyfacts/CIK0001402057.json", "reason": ""}</x:v>
      </x:c>
    </x:row>
    <x:row r="134" ht="56" customHeight="1">
      <x:c r="A134" s="29" t="str">
        <x:v>sec:b454ea39cc7c7dca2f61a543ec7262520b3b8bb8ffb0bb04e0f09775100526bf</x:v>
      </x:c>
      <x:c r="B134" s="29" t="str">
        <x:v>fact</x:v>
      </x:c>
      <x:c r="C134" s="29" t="str">
        <x:v>0001402057-25-000145</x:v>
      </x:c>
      <x:c r="D134" s="29" t="str">
        <x:v>0001402057-25-000145:2025-08-06</x:v>
      </x:c>
      <x:c r="E134" s="29" t="str">
        <x:v>2025-08-06</x:v>
      </x:c>
      <x:c r="F134" s="29" t="str">
        <x:v>{"entry": {"accn": "0001402057-25-000145", "end": "2025-06-30", "filed": "2025-08-06", "form": "10-Q", "fp": "Q2", "fy": 2025, "start": "2025-01-01", "val": 8812200000}, "namespace": "us-gaap", "tag": "CostOfGoodsAndServicesSold", "unit": "USD"}</x:v>
      </x:c>
      <x:c r="G134" s="29" t="str">
        <x:v>{"value": "8812200000", "unit": "USD", "scale": "1", "definition": "CostOfGoodsAndServicesSold", "basis": "", "excerpt": null, "source_url": "https://data.sec.gov/api/xbrl/companyfacts/CIK0001402057.json", "reason": ""}</x:v>
      </x:c>
    </x:row>
    <x:row r="135" ht="56" customHeight="1">
      <x:c r="A135" s="29" t="str">
        <x:v>sec:9aa04ede400eefb32b7da3b4b8880b0aa7c34b6f87e46e290192b6828675c0e8</x:v>
      </x:c>
      <x:c r="B135" s="29" t="str">
        <x:v>fact</x:v>
      </x:c>
      <x:c r="C135" s="29" t="str">
        <x:v>0001402057-26-000065</x:v>
      </x:c>
      <x:c r="D135" s="29" t="str">
        <x:v>0001402057-26-000065:2026-08-05</x:v>
      </x:c>
      <x:c r="E135" s="29" t="str">
        <x:v>2026-08-05</x:v>
      </x:c>
      <x:c r="F135" s="29" t="str">
        <x:v>{"entry": {"accn": "0001402057-26-000065", "end": "2025-06-30", "filed": "2026-08-05", "form": "10-Q", "fp": "Q2", "fy": 2026, "start": "2025-01-01", "val": 8812200000}, "namespace": "us-gaap", "tag": "CostOfGoodsAndServicesSold", "unit": "USD"}</x:v>
      </x:c>
      <x:c r="G135" s="29" t="str">
        <x:v>{"value": "8812200000", "unit": "USD", "scale": "1", "definition": "CostOfGoodsAndServicesSold", "basis": "", "excerpt": null, "source_url": "https://data.sec.gov/api/xbrl/companyfacts/CIK0001402057.json", "reason": ""}</x:v>
      </x:c>
    </x:row>
    <x:row r="136" ht="56" customHeight="1">
      <x:c r="A136" s="29" t="str">
        <x:v>sec:be96dda9a18943c0dd807c4233c40fbe011375687227f305c3889df15de6af99</x:v>
      </x:c>
      <x:c r="B136" s="29" t="str">
        <x:v>fact</x:v>
      </x:c>
      <x:c r="C136" s="29" t="str">
        <x:v>0001402057-26-000065</x:v>
      </x:c>
      <x:c r="D136" s="29" t="str">
        <x:v>0001402057-26-000065:2026-08-05</x:v>
      </x:c>
      <x:c r="E136" s="29" t="str">
        <x:v>2026-08-05</x:v>
      </x:c>
      <x:c r="F136" s="29" t="str">
        <x:v>{"entry": {"accn": "0001402057-26-000065", "end": "2026-06-30", "filed": "2026-08-05", "form": "10-Q", "fp": "Q2", "fy": 2026, "start": "2026-01-01", "val": 2509800000}, "namespace": "us-gaap", "tag": "GrossProfit", "unit": "USD"}</x:v>
      </x:c>
      <x:c r="G136" s="29" t="str">
        <x:v>{"value": "2509800000", "unit": "USD", "scale": "1", "definition": "GrossProfit", "basis": "", "excerpt": null, "source_url": "https://data.sec.gov/api/xbrl/companyfacts/CIK0001402057.json", "reason": ""}</x:v>
      </x:c>
    </x:row>
    <x:row r="137" ht="56" customHeight="1">
      <x:c r="A137" s="29" t="str">
        <x:v>sec:c913f961d67341e6c61e446fd3a79448594f86c06531c4ae32fd56f2d1b647b0</x:v>
      </x:c>
      <x:c r="B137" s="29" t="str">
        <x:v>fact</x:v>
      </x:c>
      <x:c r="C137" s="29" t="str">
        <x:v>0001402057-25-000145</x:v>
      </x:c>
      <x:c r="D137" s="29" t="str">
        <x:v>0001402057-25-000145:2025-08-06</x:v>
      </x:c>
      <x:c r="E137" s="29" t="str">
        <x:v>2025-08-06</x:v>
      </x:c>
      <x:c r="F137" s="29" t="str">
        <x:v>{"entry": {"accn": "0001402057-25-000145", "end": "2025-06-30", "filed": "2025-08-06", "form": "10-Q", "fp": "Q2", "fy": 2025, "start": "2025-01-01", "val": 2363500000}, "namespace": "us-gaap", "tag": "GrossProfit", "unit": "USD"}</x:v>
      </x:c>
      <x:c r="G137" s="29" t="str">
        <x:v>{"value": "2363500000", "unit": "USD", "scale": "1", "definition": "GrossProfit", "basis": "", "excerpt": null, "source_url": "https://data.sec.gov/api/xbrl/companyfacts/CIK0001402057.json", "reason": ""}</x:v>
      </x:c>
    </x:row>
    <x:row r="138" ht="56" customHeight="1">
      <x:c r="A138" s="29" t="str">
        <x:v>sec:a00fd6a6754ccfe945d6d98bd35bfae4d0b52019830494efb7c1d6984603165c</x:v>
      </x:c>
      <x:c r="B138" s="29" t="str">
        <x:v>fact</x:v>
      </x:c>
      <x:c r="C138" s="29" t="str">
        <x:v>0001402057-26-000065</x:v>
      </x:c>
      <x:c r="D138" s="29" t="str">
        <x:v>0001402057-26-000065:2026-08-05</x:v>
      </x:c>
      <x:c r="E138" s="29" t="str">
        <x:v>2026-08-05</x:v>
      </x:c>
      <x:c r="F138" s="29" t="str">
        <x:v>{"entry": {"accn": "0001402057-26-000065", "end": "2025-06-30", "filed": "2026-08-05", "form": "10-Q", "fp": "Q2", "fy": 2026, "start": "2025-01-01", "val": 2363500000}, "namespace": "us-gaap", "tag": "GrossProfit", "unit": "USD"}</x:v>
      </x:c>
      <x:c r="G138" s="29" t="str">
        <x:v>{"value": "2363500000", "unit": "USD", "scale": "1", "definition": "GrossProfit", "basis": "", "excerpt": null, "source_url": "https://data.sec.gov/api/xbrl/companyfacts/CIK0001402057.json", "reason": ""}</x:v>
      </x:c>
    </x:row>
    <x:row r="139" ht="56" customHeight="1">
      <x:c r="A139" s="29" t="str">
        <x:v>sec:97dfb6955457b5a3669fdf1826585904d640a7de6f160859945d4110fa0c4b12</x:v>
      </x:c>
      <x:c r="B139" s="29" t="str">
        <x:v>fact</x:v>
      </x:c>
      <x:c r="C139" s="29" t="str">
        <x:v>0001402057-26-000065</x:v>
      </x:c>
      <x:c r="D139" s="29" t="str">
        <x:v>0001402057-26-000065:2026-08-05</x:v>
      </x:c>
      <x:c r="E139" s="29" t="str">
        <x:v>2026-08-05</x:v>
      </x:c>
      <x:c r="F139" s="29" t="str">
        <x:v>{"entry": {"accn": "0001402057-26-000065", "end": "2026-06-30", "filed": "2026-08-05", "form": "10-Q", "fp": "Q2", "fy": 2026, "start": "2026-01-01", "val": 182100000}, "namespace": "us-gaap", "tag": "IncomeTaxExpenseBenefit", "unit": "USD"}</x:v>
      </x:c>
      <x:c r="G139" s="29" t="str">
        <x:v>{"value": "182100000", "unit": "USD", "scale": "1", "definition": "IncomeTaxExpenseBenefit", "basis": "", "excerpt": null, "source_url": "https://data.sec.gov/api/xbrl/companyfacts/CIK0001402057.json", "reason": ""}</x:v>
      </x:c>
    </x:row>
    <x:row r="140" ht="56" customHeight="1">
      <x:c r="A140" s="29" t="str">
        <x:v>sec:7e9e114d6c3135d45b277f3de1171ab5994540b00b16753c4ecf63558b90d575</x:v>
      </x:c>
      <x:c r="B140" s="29" t="str">
        <x:v>fact</x:v>
      </x:c>
      <x:c r="C140" s="29" t="str">
        <x:v>0001402057-25-000145</x:v>
      </x:c>
      <x:c r="D140" s="29" t="str">
        <x:v>0001402057-25-000145:2025-08-06</x:v>
      </x:c>
      <x:c r="E140" s="29" t="str">
        <x:v>2025-08-06</x:v>
      </x:c>
      <x:c r="F140" s="29" t="str">
        <x:v>{"entry": {"accn": "0001402057-25-000145", "end": "2025-06-30", "filed": "2025-08-06", "form": "10-Q", "fp": "Q2", "fy": 2025, "start": "2025-01-01", "val": 172800000}, "namespace": "us-gaap", "tag": "IncomeTaxExpenseBenefit", "unit": "USD"}</x:v>
      </x:c>
      <x:c r="G140" s="29" t="str">
        <x:v>{"value": "172800000", "unit": "USD", "scale": "1", "definition": "IncomeTaxExpenseBenefit", "basis": "", "excerpt": null, "source_url": "https://data.sec.gov/api/xbrl/companyfacts/CIK0001402057.json", "reason": ""}</x:v>
      </x:c>
    </x:row>
    <x:row r="141" ht="56" customHeight="1">
      <x:c r="A141" s="29" t="str">
        <x:v>sec:2962b8484c14369bc1ec6332c18256a1f1bb9d125087c0c3c4d39fec15f5dd96</x:v>
      </x:c>
      <x:c r="B141" s="29" t="str">
        <x:v>fact</x:v>
      </x:c>
      <x:c r="C141" s="29" t="str">
        <x:v>0001402057-26-000065</x:v>
      </x:c>
      <x:c r="D141" s="29" t="str">
        <x:v>0001402057-26-000065:2026-08-05</x:v>
      </x:c>
      <x:c r="E141" s="29" t="str">
        <x:v>2026-08-05</x:v>
      </x:c>
      <x:c r="F141" s="29" t="str">
        <x:v>{"entry": {"accn": "0001402057-26-000065", "end": "2025-06-30", "filed": "2026-08-05", "form": "10-Q", "fp": "Q2", "fy": 2026, "start": "2025-01-01", "val": 172800000}, "namespace": "us-gaap", "tag": "IncomeTaxExpenseBenefit", "unit": "USD"}</x:v>
      </x:c>
      <x:c r="G141" s="29" t="str">
        <x:v>{"value": "172800000", "unit": "USD", "scale": "1", "definition": "IncomeTaxExpenseBenefit", "basis": "", "excerpt": null, "source_url": "https://data.sec.gov/api/xbrl/companyfacts/CIK0001402057.json", "reason": ""}</x:v>
      </x:c>
    </x:row>
    <x:row r="142" ht="56" customHeight="1">
      <x:c r="A142" s="29" t="str">
        <x:v>sec:1c816deee2bf0568da8523031ab74bd04159f5d6e9839e076ff97196a3e0a85d</x:v>
      </x:c>
      <x:c r="B142" s="29" t="str">
        <x:v>fact</x:v>
      </x:c>
      <x:c r="C142" s="29" t="str">
        <x:v>0001402057-26-000065</x:v>
      </x:c>
      <x:c r="D142" s="29" t="str">
        <x:v>0001402057-26-000065:2026-08-05</x:v>
      </x:c>
      <x:c r="E142" s="29" t="str">
        <x:v>2026-08-05</x:v>
      </x:c>
      <x:c r="F142" s="29" t="str">
        <x:v>{"entry": {"accn": "0001402057-26-000065", "end": "2026-06-30", "filed": "2026-08-05", "form": "10-Q", "fp": "Q2", "frame": "CY2026Q2I", "fy": 2026, "val": 9680500000}, "namespace": "us-gaap", "tag": "AssetsCurrent", "unit": "USD"}</x:v>
      </x:c>
      <x:c r="G142" s="29" t="str">
        <x:v>{"value": "9680500000", "unit": "USD", "scale": "1", "definition": "AssetsCurrent", "basis": "", "excerpt": null, "source_url": "https://data.sec.gov/api/xbrl/companyfacts/CIK0001402057.json", "reason": ""}</x:v>
      </x:c>
    </x:row>
    <x:row r="143" ht="56" customHeight="1">
      <x:c r="A143" s="29" t="str">
        <x:v>sec:f09c1b7e0307fa5b7f6fe533e3e78cd59a7f5d9eaca6e74b4846968c844ca8ec</x:v>
      </x:c>
      <x:c r="B143" s="29" t="str">
        <x:v>fact</x:v>
      </x:c>
      <x:c r="C143" s="29" t="str">
        <x:v>0001402057-25-000096</x:v>
      </x:c>
      <x:c r="D143" s="29" t="str">
        <x:v>0001402057-25-000096:2025-05-07</x:v>
      </x:c>
      <x:c r="E143" s="29" t="str">
        <x:v>2025-05-07</x:v>
      </x:c>
      <x:c r="F143" s="29" t="str">
        <x:v>{"entry": {"accn": "0001402057-25-000096", "end": "2024-12-31", "filed": "2025-05-07", "form": "10-Q", "fp": "Q1", "fy": 2025, "val": 7373100000}, "namespace": "us-gaap", "tag": "AssetsCurrent", "unit": "USD"}</x:v>
      </x:c>
      <x:c r="G143" s="29" t="str">
        <x:v>{"value": "7373100000", "unit": "USD", "scale": "1", "definition": "AssetsCurrent", "basis": "", "excerpt": null, "source_url": "https://data.sec.gov/api/xbrl/companyfacts/CIK0001402057.json", "reason": ""}</x:v>
      </x:c>
    </x:row>
    <x:row r="144" ht="56" customHeight="1">
      <x:c r="A144" s="29" t="str">
        <x:v>sec:bddbe7635bca545d2b1caba2db7390179c786ef407921194b8b58e722b69b9b2</x:v>
      </x:c>
      <x:c r="B144" s="29" t="str">
        <x:v>fact</x:v>
      </x:c>
      <x:c r="C144" s="29" t="str">
        <x:v>0001402057-25-000145</x:v>
      </x:c>
      <x:c r="D144" s="29" t="str">
        <x:v>0001402057-25-000145:2025-08-06</x:v>
      </x:c>
      <x:c r="E144" s="29" t="str">
        <x:v>2025-08-06</x:v>
      </x:c>
      <x:c r="F144" s="29" t="str">
        <x:v>{"entry": {"accn": "0001402057-25-000145", "end": "2024-12-31", "filed": "2025-08-06", "form": "10-Q", "fp": "Q2", "fy": 2025, "val": 7373100000}, "namespace": "us-gaap", "tag": "AssetsCurrent", "unit": "USD"}</x:v>
      </x:c>
      <x:c r="G144" s="29" t="str">
        <x:v>{"value": "7373100000", "unit": "USD", "scale": "1", "definition": "AssetsCurrent", "basis": "", "excerpt": null, "source_url": "https://data.sec.gov/api/xbrl/companyfacts/CIK0001402057.json", "reason": ""}</x:v>
      </x:c>
    </x:row>
    <x:row r="145" ht="56" customHeight="1">
      <x:c r="A145" s="29" t="str">
        <x:v>sec:2c740dab1677d6763eba7c8d5e38a5bc6e37c0d031ac56066bb166a5c3b179e4</x:v>
      </x:c>
      <x:c r="B145" s="29" t="str">
        <x:v>fact</x:v>
      </x:c>
      <x:c r="C145" s="29" t="str">
        <x:v>0001402057-26-000011</x:v>
      </x:c>
      <x:c r="D145" s="29" t="str">
        <x:v>0001402057-26-000011:2026-02-20</x:v>
      </x:c>
      <x:c r="E145" s="29" t="str">
        <x:v>2026-02-20</x:v>
      </x:c>
      <x:c r="F145" s="29" t="str">
        <x:v>{"entry": {"accn": "0001402057-26-000011", "end": "2024-12-31", "filed": "2026-02-20", "form": "10-K", "fp": "FY", "frame": "CY2024Q4I", "fy": 2025, "val": 7373100000}, "namespace": "us-gaap", "tag": "AssetsCurrent", "unit": "USD"}</x:v>
      </x:c>
      <x:c r="G145" s="29" t="str">
        <x:v>{"value": "7373100000", "unit": "USD", "scale": "1", "definition": "AssetsCurrent", "basis": "", "excerpt": null, "source_url": "https://data.sec.gov/api/xbrl/companyfacts/CIK0001402057.json", "reason": ""}</x:v>
      </x:c>
    </x:row>
    <x:row r="146" ht="56" customHeight="1">
      <x:c r="A146" s="29" t="str">
        <x:v>sec:7d348d109d17c0c7ccff861441614e592cbb07adc37372770857a0930a4e740b</x:v>
      </x:c>
      <x:c r="B146" s="29" t="str">
        <x:v>fact</x:v>
      </x:c>
      <x:c r="C146" s="29" t="str">
        <x:v>0001402057-25-000018</x:v>
      </x:c>
      <x:c r="D146" s="29" t="str">
        <x:v>0001402057-25-000018:2025-02-21</x:v>
      </x:c>
      <x:c r="E146" s="29" t="str">
        <x:v>2025-02-21</x:v>
      </x:c>
      <x:c r="F146" s="29" t="str">
        <x:v>{"entry": {"accn": "0001402057-25-000018", "end": "2024-12-31", "filed": "2025-02-21", "form": "10-K", "fp": "FY", "fy": 2024, "val": 7373100000}, "namespace": "us-gaap", "tag": "AssetsCurrent", "unit": "USD"}</x:v>
      </x:c>
      <x:c r="G146" s="29" t="str">
        <x:v>{"value": "7373100000", "unit": "USD", "scale": "1", "definition": "AssetsCurrent", "basis": "", "excerpt": null, "source_url": "https://data.sec.gov/api/xbrl/companyfacts/CIK0001402057.json", "reason": ""}</x:v>
      </x:c>
    </x:row>
    <x:row r="147" ht="56" customHeight="1">
      <x:c r="A147" s="29" t="str">
        <x:v>sec:5f06b9775d120d6734e2a2d6f5465b194aa10dbf06da68c577bae8532147e548</x:v>
      </x:c>
      <x:c r="B147" s="29" t="str">
        <x:v>fact</x:v>
      </x:c>
      <x:c r="C147" s="29" t="str">
        <x:v>0001402057-25-000193</x:v>
      </x:c>
      <x:c r="D147" s="29" t="str">
        <x:v>0001402057-25-000193:2025-11-04</x:v>
      </x:c>
      <x:c r="E147" s="29" t="str">
        <x:v>2025-11-04</x:v>
      </x:c>
      <x:c r="F147" s="29" t="str">
        <x:v>{"entry": {"accn": "0001402057-25-000193", "end": "2024-12-31", "filed": "2025-11-04", "form": "10-Q", "fp": "Q3", "fy": 2025, "val": 7373100000}, "namespace": "us-gaap", "tag": "AssetsCurrent", "unit": "USD"}</x:v>
      </x:c>
      <x:c r="G147" s="29" t="str">
        <x:v>{"value": "7373100000", "unit": "USD", "scale": "1", "definition": "AssetsCurrent", "basis": "", "excerpt": null, "source_url": "https://data.sec.gov/api/xbrl/companyfacts/CIK0001402057.json", "reason": ""}</x:v>
      </x:c>
    </x:row>
    <x:row r="148" ht="56" customHeight="1">
      <x:c r="A148" s="29" t="str">
        <x:v>sec:4bafe7edabd93d2594c15b6a32bf611f932c0f0fbdfcd11a77923f1206ddf5f3</x:v>
      </x:c>
      <x:c r="B148" s="29" t="str">
        <x:v>fact</x:v>
      </x:c>
      <x:c r="C148" s="29" t="str">
        <x:v>0001402057-26-000011</x:v>
      </x:c>
      <x:c r="D148" s="29" t="str">
        <x:v>0001402057-26-000011:2026-02-20</x:v>
      </x:c>
      <x:c r="E148" s="29" t="str">
        <x:v>2026-02-20</x:v>
      </x:c>
      <x:c r="F148" s="29" t="str">
        <x:v>{"entry": {"accn": "0001402057-26-000011", "end": "2025-12-31", "filed": "2026-02-20", "form": "10-K", "fp": "FY", "fy": 2025, "val": 8500500000}, "namespace": "us-gaap", "tag": "AssetsCurrent", "unit": "USD"}</x:v>
      </x:c>
      <x:c r="G148" s="29" t="str">
        <x:v>{"value": "8500500000", "unit": "USD", "scale": "1", "definition": "AssetsCurrent", "basis": "", "excerpt": null, "source_url": "https://data.sec.gov/api/xbrl/companyfacts/CIK0001402057.json", "reason": ""}</x:v>
      </x:c>
    </x:row>
    <x:row r="149" ht="56" customHeight="1">
      <x:c r="A149" s="29" t="str">
        <x:v>sec:ad0714b4af0a017d5cffec106c903f36b35193f63b4edd07feab8b9632779a74</x:v>
      </x:c>
      <x:c r="B149" s="29" t="str">
        <x:v>fact</x:v>
      </x:c>
      <x:c r="C149" s="29" t="str">
        <x:v>0001402057-26-000025</x:v>
      </x:c>
      <x:c r="D149" s="29" t="str">
        <x:v>0001402057-26-000025:2026-05-06</x:v>
      </x:c>
      <x:c r="E149" s="29" t="str">
        <x:v>2026-05-06</x:v>
      </x:c>
      <x:c r="F149" s="29" t="str">
        <x:v>{"entry": {"accn": "0001402057-26-000025", "end": "2025-12-31", "filed": "2026-05-06", "form": "10-Q", "fp": "Q1", "fy": 2026, "val": 8500500000}, "namespace": "us-gaap", "tag": "AssetsCurrent", "unit": "USD"}</x:v>
      </x:c>
      <x:c r="G149" s="29" t="str">
        <x:v>{"value": "8500500000", "unit": "USD", "scale": "1", "definition": "AssetsCurrent", "basis": "", "excerpt": null, "source_url": "https://data.sec.gov/api/xbrl/companyfacts/CIK0001402057.json", "reason": ""}</x:v>
      </x:c>
    </x:row>
    <x:row r="150" ht="56" customHeight="1">
      <x:c r="A150" s="29" t="str">
        <x:v>sec:601dae756a3b15dfefee89a46b5020f20754c803d6887680007457303d285c90</x:v>
      </x:c>
      <x:c r="B150" s="29" t="str">
        <x:v>fact</x:v>
      </x:c>
      <x:c r="C150" s="29" t="str">
        <x:v>0001402057-26-000065</x:v>
      </x:c>
      <x:c r="D150" s="29" t="str">
        <x:v>0001402057-26-000065:2026-08-05</x:v>
      </x:c>
      <x:c r="E150" s="29" t="str">
        <x:v>2026-08-05</x:v>
      </x:c>
      <x:c r="F150" s="29" t="str">
        <x:v>{"entry": {"accn": "0001402057-26-000065", "end": "2025-12-31", "filed": "2026-08-05", "form": "10-Q", "fp": "Q2", "frame": "CY2025Q4I", "fy": 2026, "val": 8500500000}, "namespace": "us-gaap", "tag": "AssetsCurrent", "unit": "USD"}</x:v>
      </x:c>
      <x:c r="G150" s="29" t="str">
        <x:v>{"value": "8500500000", "unit": "USD", "scale": "1", "definition": "AssetsCurrent", "basis": "", "excerpt": null, "source_url": "https://data.sec.gov/api/xbrl/companyfacts/CIK0001402057.json", "reason": ""}</x:v>
      </x:c>
    </x:row>
    <x:row r="151" ht="56" customHeight="1">
      <x:c r="A151" s="29" t="str">
        <x:v>sec:34f7e432052c095e2c93c65bf8401221549e59bd7e7d67e8e749be84028ab48f</x:v>
      </x:c>
      <x:c r="B151" s="29" t="str">
        <x:v>fact</x:v>
      </x:c>
      <x:c r="C151" s="29" t="str">
        <x:v>0001402057-25-000145</x:v>
      </x:c>
      <x:c r="D151" s="29" t="str">
        <x:v>0001402057-25-000145:2025-08-06</x:v>
      </x:c>
      <x:c r="E151" s="29" t="str">
        <x:v>2025-08-06</x:v>
      </x:c>
      <x:c r="F151" s="29" t="str">
        <x:v>{"entry": {"accn": "0001402057-25-000145", "end": "2025-06-30", "filed": "2025-08-06", "form": "10-Q", "fp": "Q2", "frame": "CY2025Q2I", "fy": 2025, "val": 7836500000}, "namespace": "us-gaap", "tag": "AssetsCurrent", "unit": "USD"}</x:v>
      </x:c>
      <x:c r="G151" s="29" t="str">
        <x:v>{"value": "7836500000", "unit": "USD", "scale": "1", "definition": "AssetsCurrent", "basis": "", "excerpt": null, "source_url": "https://data.sec.gov/api/xbrl/companyfacts/CIK0001402057.json", "reason": ""}</x:v>
      </x:c>
    </x:row>
    <x:row r="152" ht="56" customHeight="1">
      <x:c r="A152" s="29" t="str">
        <x:v>sec:486585fd703723db5751cb7f1af9c116866d34265bfe39cddf092da4a3f89bea</x:v>
      </x:c>
      <x:c r="B152" s="29" t="str">
        <x:v>fact</x:v>
      </x:c>
      <x:c r="C152" s="29" t="str">
        <x:v>0001402057-26-000065</x:v>
      </x:c>
      <x:c r="D152" s="29" t="str">
        <x:v>0001402057-26-000065:2026-08-05</x:v>
      </x:c>
      <x:c r="E152" s="29" t="str">
        <x:v>2026-08-05</x:v>
      </x:c>
      <x:c r="F152" s="29" t="str">
        <x:v>{"entry": {"accn": "0001402057-26-000065", "end": "2026-06-30", "filed": "2026-08-05", "form": "10-Q", "fp": "Q2", "frame": "CY2026Q2I", "fy": 2026, "val": 8296400000}, "namespace": "us-gaap", "tag": "LiabilitiesCurrent", "unit": "USD"}</x:v>
      </x:c>
      <x:c r="G152" s="29" t="str">
        <x:v>{"value": "8296400000", "unit": "USD", "scale": "1", "definition": "LiabilitiesCurrent", "basis": "", "excerpt": null, "source_url": "https://data.sec.gov/api/xbrl/companyfacts/CIK0001402057.json", "reason": ""}</x:v>
      </x:c>
    </x:row>
    <x:row r="153" ht="56" customHeight="1">
      <x:c r="A153" s="29" t="str">
        <x:v>sec:b3627833c980db2a6b9addb311d11be03a13469db5a1554649c4c21aeafc2cd6</x:v>
      </x:c>
      <x:c r="B153" s="29" t="str">
        <x:v>fact</x:v>
      </x:c>
      <x:c r="C153" s="29" t="str">
        <x:v>0001402057-26-000011</x:v>
      </x:c>
      <x:c r="D153" s="29" t="str">
        <x:v>0001402057-26-000011:2026-02-20</x:v>
      </x:c>
      <x:c r="E153" s="29" t="str">
        <x:v>2026-02-20</x:v>
      </x:c>
      <x:c r="F153" s="29" t="str">
        <x:v>{"entry": {"accn": "0001402057-26-000011", "end": "2024-12-31", "filed": "2026-02-20", "form": "10-K", "fp": "FY", "frame": "CY2024Q4I", "fy": 2025, "val": 5474400000}, "namespace": "us-gaap", "tag": "LiabilitiesCurrent", "unit": "USD"}</x:v>
      </x:c>
      <x:c r="G153" s="29" t="str">
        <x:v>{"value": "5474400000", "unit": "USD", "scale": "1", "definition": "LiabilitiesCurrent", "basis": "", "excerpt": null, "source_url": "https://data.sec.gov/api/xbrl/companyfacts/CIK0001402057.json", "reason": ""}</x:v>
      </x:c>
    </x:row>
    <x:row r="154" ht="56" customHeight="1">
      <x:c r="A154" s="29" t="str">
        <x:v>sec:59b118ec15b22f76e75d4491d1e7cb23d65757b9d192268f515ed62e5771bc93</x:v>
      </x:c>
      <x:c r="B154" s="29" t="str">
        <x:v>fact</x:v>
      </x:c>
      <x:c r="C154" s="29" t="str">
        <x:v>0001402057-25-000145</x:v>
      </x:c>
      <x:c r="D154" s="29" t="str">
        <x:v>0001402057-25-000145:2025-08-06</x:v>
      </x:c>
      <x:c r="E154" s="29" t="str">
        <x:v>2025-08-06</x:v>
      </x:c>
      <x:c r="F154" s="29" t="str">
        <x:v>{"entry": {"accn": "0001402057-25-000145", "end": "2024-12-31", "filed": "2025-08-06", "form": "10-Q", "fp": "Q2", "fy": 2025, "val": 5474400000}, "namespace": "us-gaap", "tag": "LiabilitiesCurrent", "unit": "USD"}</x:v>
      </x:c>
      <x:c r="G154" s="29" t="str">
        <x:v>{"value": "5474400000", "unit": "USD", "scale": "1", "definition": "LiabilitiesCurrent", "basis": "", "excerpt": null, "source_url": "https://data.sec.gov/api/xbrl/companyfacts/CIK0001402057.json", "reason": ""}</x:v>
      </x:c>
    </x:row>
    <x:row r="155" ht="56" customHeight="1">
      <x:c r="A155" s="29" t="str">
        <x:v>sec:a27559275751b9359c178f443cdd665559acfa478cfb1f474a454a467f8d20f9</x:v>
      </x:c>
      <x:c r="B155" s="29" t="str">
        <x:v>fact</x:v>
      </x:c>
      <x:c r="C155" s="29" t="str">
        <x:v>0001402057-25-000096</x:v>
      </x:c>
      <x:c r="D155" s="29" t="str">
        <x:v>0001402057-25-000096:2025-05-07</x:v>
      </x:c>
      <x:c r="E155" s="29" t="str">
        <x:v>2025-05-07</x:v>
      </x:c>
      <x:c r="F155" s="29" t="str">
        <x:v>{"entry": {"accn": "0001402057-25-000096", "end": "2024-12-31", "filed": "2025-05-07", "form": "10-Q", "fp": "Q1", "fy": 2025, "val": 5474400000}, "namespace": "us-gaap", "tag": "LiabilitiesCurrent", "unit": "USD"}</x:v>
      </x:c>
      <x:c r="G155" s="29" t="str">
        <x:v>{"value": "5474400000", "unit": "USD", "scale": "1", "definition": "LiabilitiesCurrent", "basis": "", "excerpt": null, "source_url": "https://data.sec.gov/api/xbrl/companyfacts/CIK0001402057.json", "reason": ""}</x:v>
      </x:c>
    </x:row>
    <x:row r="156" ht="56" customHeight="1">
      <x:c r="A156" s="29" t="str">
        <x:v>sec:3e43d6aa908877b3cbcade60220c29fa9f7824a4074c2a3cd4f7551527697891</x:v>
      </x:c>
      <x:c r="B156" s="29" t="str">
        <x:v>fact</x:v>
      </x:c>
      <x:c r="C156" s="29" t="str">
        <x:v>0001402057-25-000018</x:v>
      </x:c>
      <x:c r="D156" s="29" t="str">
        <x:v>0001402057-25-000018:2025-02-21</x:v>
      </x:c>
      <x:c r="E156" s="29" t="str">
        <x:v>2025-02-21</x:v>
      </x:c>
      <x:c r="F156" s="29" t="str">
        <x:v>{"entry": {"accn": "0001402057-25-000018", "end": "2024-12-31", "filed": "2025-02-21", "form": "10-K", "fp": "FY", "fy": 2024, "val": 5474400000}, "namespace": "us-gaap", "tag": "LiabilitiesCurrent", "unit": "USD"}</x:v>
      </x:c>
      <x:c r="G156" s="29" t="str">
        <x:v>{"value": "5474400000", "unit": "USD", "scale": "1", "definition": "LiabilitiesCurrent", "basis": "", "excerpt": null, "source_url": "https://data.sec.gov/api/xbrl/companyfacts/CIK0001402057.json", "reason": ""}</x:v>
      </x:c>
    </x:row>
    <x:row r="157" ht="56" customHeight="1">
      <x:c r="A157" s="29" t="str">
        <x:v>sec:c650abdc21ad7c60572fb0ae7402f8888c4d931969d12317d6bf884ee4f1fe50</x:v>
      </x:c>
      <x:c r="B157" s="29" t="str">
        <x:v>fact</x:v>
      </x:c>
      <x:c r="C157" s="29" t="str">
        <x:v>0001402057-25-000193</x:v>
      </x:c>
      <x:c r="D157" s="29" t="str">
        <x:v>0001402057-25-000193:2025-11-04</x:v>
      </x:c>
      <x:c r="E157" s="29" t="str">
        <x:v>2025-11-04</x:v>
      </x:c>
      <x:c r="F157" s="29" t="str">
        <x:v>{"entry": {"accn": "0001402057-25-000193", "end": "2024-12-31", "filed": "2025-11-04", "form": "10-Q", "fp": "Q3", "fy": 2025, "val": 5474400000}, "namespace": "us-gaap", "tag": "LiabilitiesCurrent", "unit": "USD"}</x:v>
      </x:c>
      <x:c r="G157" s="29" t="str">
        <x:v>{"value": "5474400000", "unit": "USD", "scale": "1", "definition": "LiabilitiesCurrent", "basis": "", "excerpt": null, "source_url": "https://data.sec.gov/api/xbrl/companyfacts/CIK0001402057.json", "reason": ""}</x:v>
      </x:c>
    </x:row>
    <x:row r="158" ht="56" customHeight="1">
      <x:c r="A158" s="29" t="str">
        <x:v>sec:e70db5c9d672e5d9e220e2cf3fe710021a9cb4865c9c922273db6f4ad1984120</x:v>
      </x:c>
      <x:c r="B158" s="29" t="str">
        <x:v>fact</x:v>
      </x:c>
      <x:c r="C158" s="29" t="str">
        <x:v>0001402057-26-000065</x:v>
      </x:c>
      <x:c r="D158" s="29" t="str">
        <x:v>0001402057-26-000065:2026-08-05</x:v>
      </x:c>
      <x:c r="E158" s="29" t="str">
        <x:v>2026-08-05</x:v>
      </x:c>
      <x:c r="F158" s="29" t="str">
        <x:v>{"entry": {"accn": "0001402057-26-000065", "end": "2025-12-31", "filed": "2026-08-05", "form": "10-Q", "fp": "Q2", "frame": "CY2025Q4I", "fy": 2026, "val": 7226100000}, "namespace": "us-gaap", "tag": "LiabilitiesCurrent", "unit": "USD"}</x:v>
      </x:c>
      <x:c r="G158" s="29" t="str">
        <x:v>{"value": "7226100000", "unit": "USD", "scale": "1", "definition": "LiabilitiesCurrent", "basis": "", "excerpt": null, "source_url": "https://data.sec.gov/api/xbrl/companyfacts/CIK0001402057.json", "reason": ""}</x:v>
      </x:c>
    </x:row>
    <x:row r="159" ht="56" customHeight="1">
      <x:c r="A159" s="29" t="str">
        <x:v>sec:968ef21c16207d9ce19d35cbe4fd8a98d55c605bc49218f7a1e0252e25f17ccb</x:v>
      </x:c>
      <x:c r="B159" s="29" t="str">
        <x:v>fact</x:v>
      </x:c>
      <x:c r="C159" s="29" t="str">
        <x:v>0001402057-26-000011</x:v>
      </x:c>
      <x:c r="D159" s="29" t="str">
        <x:v>0001402057-26-000011:2026-02-20</x:v>
      </x:c>
      <x:c r="E159" s="29" t="str">
        <x:v>2026-02-20</x:v>
      </x:c>
      <x:c r="F159" s="29" t="str">
        <x:v>{"entry": {"accn": "0001402057-26-000011", "end": "2025-12-31", "filed": "2026-02-20", "form": "10-K", "fp": "FY", "fy": 2025, "val": 7226100000}, "namespace": "us-gaap", "tag": "LiabilitiesCurrent", "unit": "USD"}</x:v>
      </x:c>
      <x:c r="G159" s="29" t="str">
        <x:v>{"value": "7226100000", "unit": "USD", "scale": "1", "definition": "LiabilitiesCurrent", "basis": "", "excerpt": null, "source_url": "https://data.sec.gov/api/xbrl/companyfacts/CIK0001402057.json", "reason": ""}</x:v>
      </x:c>
    </x:row>
    <x:row r="160" ht="56" customHeight="1">
      <x:c r="A160" s="29" t="str">
        <x:v>sec:cfeeacbc1c43d7bf20cba9c244796c3158e961e6495945a93322cbe9aa294828</x:v>
      </x:c>
      <x:c r="B160" s="29" t="str">
        <x:v>fact</x:v>
      </x:c>
      <x:c r="C160" s="29" t="str">
        <x:v>0001402057-26-000025</x:v>
      </x:c>
      <x:c r="D160" s="29" t="str">
        <x:v>0001402057-26-000025:2026-05-06</x:v>
      </x:c>
      <x:c r="E160" s="29" t="str">
        <x:v>2026-05-06</x:v>
      </x:c>
      <x:c r="F160" s="29" t="str">
        <x:v>{"entry": {"accn": "0001402057-26-000025", "end": "2025-12-31", "filed": "2026-05-06", "form": "10-Q", "fp": "Q1", "fy": 2026, "val": 7226100000}, "namespace": "us-gaap", "tag": "LiabilitiesCurrent", "unit": "USD"}</x:v>
      </x:c>
      <x:c r="G160" s="29" t="str">
        <x:v>{"value": "7226100000", "unit": "USD", "scale": "1", "definition": "LiabilitiesCurrent", "basis": "", "excerpt": null, "source_url": "https://data.sec.gov/api/xbrl/companyfacts/CIK0001402057.json", "reason": ""}</x:v>
      </x:c>
    </x:row>
    <x:row r="161" ht="56" customHeight="1">
      <x:c r="A161" s="29" t="str">
        <x:v>sec:b131e937de7b2a4561c26900fff82720b4cad74af72961d32ba3c3c18c747787</x:v>
      </x:c>
      <x:c r="B161" s="29" t="str">
        <x:v>fact</x:v>
      </x:c>
      <x:c r="C161" s="29" t="str">
        <x:v>0001402057-25-000145</x:v>
      </x:c>
      <x:c r="D161" s="29" t="str">
        <x:v>0001402057-25-000145:2025-08-06</x:v>
      </x:c>
      <x:c r="E161" s="29" t="str">
        <x:v>2025-08-06</x:v>
      </x:c>
      <x:c r="F161" s="29" t="str">
        <x:v>{"entry": {"accn": "0001402057-25-000145", "end": "2025-06-30", "filed": "2025-08-06", "form": "10-Q", "fp": "Q2", "frame": "CY2025Q2I", "fy": 2025, "val": 5805700000}, "namespace": "us-gaap", "tag": "LiabilitiesCurrent", "unit": "USD"}</x:v>
      </x:c>
      <x:c r="G161" s="29" t="str">
        <x:v>{"value": "5805700000", "unit": "USD", "scale": "1", "definition": "LiabilitiesCurrent", "basis": "", "excerpt": null, "source_url": "https://data.sec.gov/api/xbrl/companyfacts/CIK0001402057.json", "reason": ""}</x:v>
      </x:c>
    </x:row>
    <x:row r="162" ht="56" customHeight="1">
      <x:c r="A162" s="29" t="str">
        <x:v>sec:27f3ea55ec148df0cc057fdf5d76c2b58448ed652d18cc6bd98cd7894d317fb7</x:v>
      </x:c>
      <x:c r="B162" s="29" t="str">
        <x:v>fact</x:v>
      </x:c>
      <x:c r="C162" s="29" t="str">
        <x:v>0001402057-26-000065</x:v>
      </x:c>
      <x:c r="D162" s="29" t="str">
        <x:v>0001402057-26-000065:2026-08-05</x:v>
      </x:c>
      <x:c r="E162" s="29" t="str">
        <x:v>2026-08-05</x:v>
      </x:c>
      <x:c r="F162" s="29" t="str">
        <x:v>{"entry": {"accn": "0001402057-26-000065", "end": "2026-06-30", "filed": "2026-08-05", "form": "10-Q", "fp": "Q2", "fy": 2026, "start": "2026-01-01", "val": 150200000}, "namespace": "us-gaap", "tag": "DepreciationDepletionAndAmortization", "unit": "USD"}</x:v>
      </x:c>
      <x:c r="G162" s="29" t="str">
        <x:v>{"value": "150200000", "unit": "USD", "scale": "1", "definition": "DepreciationDepletionAndAmortization", "basis": "", "excerpt": null, "source_url": "https://data.sec.gov/api/xbrl/companyfacts/CIK0001402057.json", "reason": ""}</x:v>
      </x:c>
    </x:row>
    <x:row r="163" ht="70" customHeight="1">
      <x:c r="A163" s="29" t="str">
        <x:v>sec:abcf10534bff78057fa1e988e165025efa436a1d4de32e4584d9371b5e3a6ae7</x:v>
      </x:c>
      <x:c r="B163" s="29" t="str">
        <x:v>fact</x:v>
      </x:c>
      <x:c r="C163" s="29" t="str">
        <x:v>0001402057-26-000011</x:v>
      </x:c>
      <x:c r="D163" s="29" t="str">
        <x:v>0001402057-26-000011:2026-02-20</x:v>
      </x:c>
      <x:c r="E163" s="29" t="str">
        <x:v>2026-02-20</x:v>
      </x:c>
      <x:c r="F163" s="29" t="str">
        <x:v>{"entry": {"accn": "0001402057-26-000011", "end": "2024-12-31", "filed": "2026-02-20", "form": "10-K", "fp": "FY", "frame": "CY2024", "fy": 2025, "start": "2024-01-01", "val": 275300000}, "namespace": "us-gaap", "tag": "DepreciationDepletionAndAmortization", "unit": "USD"}</x:v>
      </x:c>
      <x:c r="G163" s="29" t="str">
        <x:v>{"value": "275300000", "unit": "USD", "scale": "1", "definition": "DepreciationDepletionAndAmortization", "basis": "", "excerpt": null, "source_url": "https://data.sec.gov/api/xbrl/companyfacts/CIK0001402057.json", "reason": ""}</x:v>
      </x:c>
    </x:row>
    <x:row r="164" ht="56" customHeight="1">
      <x:c r="A164" s="29" t="str">
        <x:v>sec:8a7e7c5a65098f3c43cd28fcf68219eb6ced0513ca9696c32380f7595ebc7d4d</x:v>
      </x:c>
      <x:c r="B164" s="29" t="str">
        <x:v>fact</x:v>
      </x:c>
      <x:c r="C164" s="29" t="str">
        <x:v>0001402057-25-000018</x:v>
      </x:c>
      <x:c r="D164" s="29" t="str">
        <x:v>0001402057-25-000018:2025-02-21</x:v>
      </x:c>
      <x:c r="E164" s="29" t="str">
        <x:v>2025-02-21</x:v>
      </x:c>
      <x:c r="F164" s="29" t="str">
        <x:v>{"entry": {"accn": "0001402057-25-000018", "end": "2024-12-31", "filed": "2025-02-21", "form": "10-K", "fp": "FY", "fy": 2024, "start": "2024-01-01", "val": 275300000}, "namespace": "us-gaap", "tag": "DepreciationDepletionAndAmortization", "unit": "USD"}</x:v>
      </x:c>
      <x:c r="G164" s="29" t="str">
        <x:v>{"value": "275300000", "unit": "USD", "scale": "1", "definition": "DepreciationDepletionAndAmortization", "basis": "", "excerpt": null, "source_url": "https://data.sec.gov/api/xbrl/companyfacts/CIK0001402057.json", "reason": ""}</x:v>
      </x:c>
    </x:row>
    <x:row r="165" ht="70" customHeight="1">
      <x:c r="A165" s="29" t="str">
        <x:v>sec:8a1e5a1595af0ac5f2c3e9f2f4a47f3839269c674ae730eee37a726ea30133db</x:v>
      </x:c>
      <x:c r="B165" s="29" t="str">
        <x:v>fact</x:v>
      </x:c>
      <x:c r="C165" s="29" t="str">
        <x:v>0001402057-26-000011</x:v>
      </x:c>
      <x:c r="D165" s="29" t="str">
        <x:v>0001402057-26-000011:2026-02-20</x:v>
      </x:c>
      <x:c r="E165" s="29" t="str">
        <x:v>2026-02-20</x:v>
      </x:c>
      <x:c r="F165" s="29" t="str">
        <x:v>{"entry": {"accn": "0001402057-26-000011", "end": "2025-12-31", "filed": "2026-02-20", "form": "10-K", "fp": "FY", "frame": "CY2025", "fy": 2025, "start": "2025-01-01", "val": 295600000}, "namespace": "us-gaap", "tag": "DepreciationDepletionAndAmortization", "unit": "USD"}</x:v>
      </x:c>
      <x:c r="G165" s="29" t="str">
        <x:v>{"value": "295600000", "unit": "USD", "scale": "1", "definition": "DepreciationDepletionAndAmortization", "basis": "", "excerpt": null, "source_url": "https://data.sec.gov/api/xbrl/companyfacts/CIK0001402057.json", "reason": ""}</x:v>
      </x:c>
    </x:row>
    <x:row r="166" ht="56" customHeight="1">
      <x:c r="A166" s="29" t="str">
        <x:v>sec:cf1b04fa203f6c6c6d721c069958757aac7cc84a65c72a6046f34622911aa25a</x:v>
      </x:c>
      <x:c r="B166" s="29" t="str">
        <x:v>fact</x:v>
      </x:c>
      <x:c r="C166" s="29" t="str">
        <x:v>0001402057-26-000065</x:v>
      </x:c>
      <x:c r="D166" s="29" t="str">
        <x:v>0001402057-26-000065:2026-08-05</x:v>
      </x:c>
      <x:c r="E166" s="29" t="str">
        <x:v>2026-08-05</x:v>
      </x:c>
      <x:c r="F166" s="29" t="str">
        <x:v>{"entry": {"accn": "0001402057-26-000065", "end": "2025-06-30", "filed": "2026-08-05", "form": "10-Q", "fp": "Q2", "fy": 2026, "start": "2025-01-01", "val": 148200000}, "namespace": "us-gaap", "tag": "DepreciationDepletionAndAmortization", "unit": "USD"}</x:v>
      </x:c>
      <x:c r="G166" s="29" t="str">
        <x:v>{"value": "148200000", "unit": "USD", "scale": "1", "definition": "DepreciationDepletionAndAmortization", "basis": "", "excerpt": null, "source_url": "https://data.sec.gov/api/xbrl/companyfacts/CIK0001402057.json", "reason": ""}</x:v>
      </x:c>
    </x:row>
    <x:row r="167" ht="56" customHeight="1">
      <x:c r="A167" s="29" t="str">
        <x:v>sec:85350f94266dcec0ad6d8e06c7834036e8b7beb717d6c6964d2dafb460ae52fb</x:v>
      </x:c>
      <x:c r="B167" s="29" t="str">
        <x:v>fact</x:v>
      </x:c>
      <x:c r="C167" s="29" t="str">
        <x:v>0001402057-25-000145</x:v>
      </x:c>
      <x:c r="D167" s="29" t="str">
        <x:v>0001402057-25-000145:2025-08-06</x:v>
      </x:c>
      <x:c r="E167" s="29" t="str">
        <x:v>2025-08-06</x:v>
      </x:c>
      <x:c r="F167" s="29" t="str">
        <x:v>{"entry": {"accn": "0001402057-25-000145", "end": "2025-06-30", "filed": "2025-08-06", "form": "10-Q", "fp": "Q2", "fy": 2025, "start": "2025-01-01", "val": 148200000}, "namespace": "us-gaap", "tag": "DepreciationDepletionAndAmortization", "unit": "USD"}</x:v>
      </x:c>
      <x:c r="G167" s="29" t="str">
        <x:v>{"value": "148200000", "unit": "USD", "scale": "1", "definition": "DepreciationDepletionAndAmortization", "basis": "", "excerpt": null, "source_url": "https://data.sec.gov/api/xbrl/companyfacts/CIK0001402057.json", "reason": ""}</x:v>
      </x:c>
    </x:row>
    <x:row r="168" ht="84" customHeight="1">
      <x:c r="A168" s="29" t="str">
        <x:v>supp:7a74caa7ac4a75a105f8328dda5800e0aab6c389e7750a82e98612127b5fed38</x:v>
      </x:c>
      <x:c r="B168" s="29" t="str">
        <x:v>fact</x:v>
      </x:c>
      <x:c r="C168" s="29" t="str">
        <x:v>0001402057-26-000065</x:v>
      </x:c>
      <x:c r="D168" s="29" t="str">
        <x:v>0001402057-26-000065</x:v>
      </x:c>
      <x:c r="E168" s="29" t="str">
        <x:v>2026-08-05</x:v>
      </x:c>
      <x:c r="F168" s="29" t="str">
        <x:v>Consolidated balance sheet, total stockholders equity; assets minus total liabilities reconciled; no goodwill deduction</x:v>
      </x:c>
      <x:c r="G168" s="29" t="str">
        <x:v>{"value": "2442100000", "unit": "USD", "scale": "1", "definition": "Verified source Net Worth", "basis": "", "excerpt": "[{\"end\": \"2026-06-30\", \"val\": 2442100000, \"accn\": \"0001402057-26-000065\", \"fy\": 2026, \"fp\": \"Q2\", \"form\": \"10-Q\", \"filed\": \"2026-08-05\", \"frame\": \"CY2026Q2I\"}]", "source_url": "https://www.sec.gov/Archives/edgar/data/1402057/000140205726000065/cdw-20260630.htm", "reason": ""}</x:v>
      </x:c>
    </x:row>
    <x:row r="169" ht="266" customHeight="1">
      <x:c r="A169" s="29" t="str">
        <x:v>supp:4bb804fc2b2d255660719048eeae28bcbe1bb86704dd04408b69cef17ebddc5b</x:v>
      </x:c>
      <x:c r="B169" s="29" t="str">
        <x:v>fact</x:v>
      </x:c>
      <x:c r="C169" s="29" t="str">
        <x:v>0001402057-25-000018</x:v>
      </x:c>
      <x:c r="D169" s="29" t="str">
        <x:v>0001402057-25-000018</x:v>
      </x:c>
      <x:c r="E169" s="29" t="str">
        <x:v>2025-02-21</x:v>
      </x:c>
      <x:c r="F169" s="29" t="str">
        <x:v>Consolidated balance sheet, total stockholders equity; assets minus total liabilities reconciled; no goodwill deduction</x:v>
      </x:c>
      <x:c r="G169" s="29" t="str">
        <x:v>{"value": "2352700000", "unit": "USD", "scale": "1", "definition": "Verified source Net Worth", "basis": "", "excerpt": "[{\"end\": \"2024-12-31\", \"val\": 2352700000, \"accn\": \"0001402057-25-000018\", \"fy\": 2024, \"fp\": \"FY\", \"form\": \"10-K\", \"filed\": \"2025-02-21\"}, {\"end\": \"2024-12-31\", \"val\": 2352700000, \"accn\": \"0001402057-25-000096\", \"fy\": 2025, \"fp\": \"Q1\", \"form\": \"10-Q\", \"filed\": \"2025-05-07\"}, {\"end\": \"2024-12-31\", \"val\": 2352700000, \"accn\": \"0001402057-25-000145\", \"fy\": 2025, \"fp\": \"Q2\", \"form\": \"10-Q\", \"filed\": \"2025-08-06\"}, {\"end\": \"2024-12-31\", \"val\": 2352700000, \"accn\": \"0001402057-25-000193\", \"fy\": 2025, \"fp\": \"Q3\", \"form\": \"10-Q\", \"filed\": \"2025-11-04\"}, {\"end\": \"2024-12-31\", \"val\": 2352700000, \"accn\": \"0001402057-26-000011\", \"fy\": 2025, \"fp\": \"FY\", \"form\": \"10-K\", \"filed\": \"2026-02-20\"}, {\"end\": \"2024-12-31\", \"val\": 2352700000, \"accn\": \"0001402057-26-000025\", \"fy\": 2026, \"fp\": \"Q1\", \"form\": \"10-Q\", \"filed\": \"2026-05-06\"}, {\"end\": \"2024-12-31\", \"val\": 2352700000, \"accn\": \"0001402057-26-000065\", \"fy\": 2026, \"fp\": \"Q2\", \"form\": \"10-Q\", \"filed\": \"2026-08-05\", \"frame\": \"CY2024Q4I\"}]", "source_url": "https://www.sec.gov/Archives/edgar/data/1402057/000140205725000018/cdw-20241231.htm", "reason": ""}</x:v>
      </x:c>
    </x:row>
    <x:row r="170" ht="140" customHeight="1">
      <x:c r="A170" s="29" t="str">
        <x:v>supp:0031d1d1b6327dbcff7c349a3f235466c62b2751013e892a1e0ca96a87172440</x:v>
      </x:c>
      <x:c r="B170" s="29" t="str">
        <x:v>fact</x:v>
      </x:c>
      <x:c r="C170" s="29" t="str">
        <x:v>0001402057-26-000011</x:v>
      </x:c>
      <x:c r="D170" s="29" t="str">
        <x:v>0001402057-26-000011</x:v>
      </x:c>
      <x:c r="E170" s="29" t="str">
        <x:v>2026-02-20</x:v>
      </x:c>
      <x:c r="F170" s="29" t="str">
        <x:v>Consolidated balance sheet, total stockholders equity; assets minus total liabilities reconciled; no goodwill deduction</x:v>
      </x:c>
      <x:c r="G170" s="29" t="str">
        <x:v>{"value": "2606100000", "unit": "USD", "scale": "1", "definition": "Verified source Net Worth", "basis": "", "excerpt": "[{\"end\": \"2025-12-31\", \"val\": 2606100000, \"accn\": \"0001402057-26-000011\", \"fy\": 2025, \"fp\": \"FY\", \"form\": \"10-K\", \"filed\": \"2026-02-20\"}, {\"end\": \"2025-12-31\", \"val\": 2606100000, \"accn\": \"0001402057-26-000025\", \"fy\": 2026, \"fp\": \"Q1\", \"form\": \"10-Q\", \"filed\": \"2026-05-06\"}, {\"end\": \"2025-12-31\", \"val\": 2606100000, \"accn\": \"0001402057-26-000065\", \"fy\": 2026, \"fp\": \"Q2\", \"form\": \"10-Q\", \"filed\": \"2026-08-05\", \"frame\": \"CY2025Q4I\"}]", "source_url": "https://www.sec.gov/Archives/edgar/data/1402057/000140205726000011/cdw-20251231.htm", "reason": ""}</x:v>
      </x:c>
    </x:row>
    <x:row r="171" ht="140" customHeight="1">
      <x:c r="A171" s="29" t="str">
        <x:v>supp:f773b9b32e36983507e4c0bd119104735e2e669dced52e04514b111963697aae</x:v>
      </x:c>
      <x:c r="B171" s="29" t="str">
        <x:v>fact</x:v>
      </x:c>
      <x:c r="C171" s="29" t="str">
        <x:v>0001402057-25-000145</x:v>
      </x:c>
      <x:c r="D171" s="29" t="str">
        <x:v>0001402057-25-000145</x:v>
      </x:c>
      <x:c r="E171" s="29" t="str">
        <x:v>2025-08-06</x:v>
      </x:c>
      <x:c r="F171" s="29" t="str">
        <x:v>Consolidated balance sheet, total stockholders equity; assets minus total liabilities reconciled; no goodwill deduction</x:v>
      </x:c>
      <x:c r="G171" s="29" t="str">
        <x:v>{"value": "2467200000", "unit": "USD", "scale": "1", "definition": "Verified source Net Worth", "basis": "", "excerpt": "[{\"end\": \"2025-06-30\", \"val\": 2467200000, \"accn\": \"0001402057-25-000145\", \"fy\": 2025, \"fp\": \"Q2\", \"form\": \"10-Q\", \"filed\": \"2025-08-06\"}, {\"end\": \"2025-06-30\", \"val\": 2467200000, \"accn\": \"0001402057-25-000193\", \"fy\": 2025, \"fp\": \"Q3\", \"form\": \"10-Q\", \"filed\": \"2025-11-04\"}, {\"end\": \"2025-06-30\", \"val\": 2467200000, \"accn\": \"0001402057-26-000065\", \"fy\": 2026, \"fp\": \"Q2\", \"form\": \"10-Q\", \"filed\": \"2026-08-05\", \"frame\": \"CY2025Q2I\"}]", "source_url": "https://www.sec.gov/Archives/edgar/data/1402057/000140205725000145/cdw-20250630.htm", "reason": ""}</x:v>
      </x:c>
    </x:row>
    <x:row r="172" ht="126" customHeight="1">
      <x:c r="A172" s="29" t="str">
        <x:v>supp:0c960dcf27ee5e58de8f477b11a793fda321ca97a8089b5f10675f60cbaf9280</x:v>
      </x:c>
      <x:c r="B172" s="29" t="str">
        <x:v>fact</x:v>
      </x:c>
      <x:c r="C172" s="29" t="str">
        <x:v>0001402057-26-000065</x:v>
      </x:c>
      <x:c r="D172" s="29" t="str">
        <x:v>0001402057-26-000065</x:v>
      </x:c>
      <x:c r="E172" s="29" t="str">
        <x:v>2026-08-05</x:v>
      </x:c>
      <x:c r="F172" s="29" t="str">
        <x:v>Consolidated balance sheet, current liabilities plus noncurrent liabilities; independently reconciled to assets minus equity</x:v>
      </x:c>
      <x:c r="G172" s="29" t="str">
        <x:v>{"value": "14812700000", "unit": "USD", "scale": "1", "definition": "Verified source Total Liabilities", "basis": "", "excerpt": "{\"current\": [{\"end\": \"2026-06-30\", \"val\": 8296400000, \"accn\": \"0001402057-26-000065\", \"fy\": 2026, \"fp\": \"Q2\", \"form\": \"10-Q\", \"filed\": \"2026-08-05\", \"frame\": \"CY2026Q2I\"}], \"noncurrent\": [{\"end\": \"2026-06-30\", \"val\": 6516300000, \"accn\": \"0001402057-26-000065\", \"fy\": 2026, \"fp\": \"Q2\", \"form\": \"10-Q\", \"filed\": \"2026-08-05\", \"frame\": \"CY2026Q2I\"}]}", "source_url": "https://www.sec.gov/Archives/edgar/data/1402057/000140205726000065/cdw-20260630.htm", "reason": ""}</x:v>
      </x:c>
    </x:row>
    <x:row r="173" ht="364" customHeight="1">
      <x:c r="A173" s="29" t="str">
        <x:v>supp:934b08026d8c5357977d37a91391c5a7b93bac6f9c7d2a5372cabf8591932ea5</x:v>
      </x:c>
      <x:c r="B173" s="29" t="str">
        <x:v>fact</x:v>
      </x:c>
      <x:c r="C173" s="29" t="str">
        <x:v>0001402057-25-000018</x:v>
      </x:c>
      <x:c r="D173" s="29" t="str">
        <x:v>0001402057-25-000018</x:v>
      </x:c>
      <x:c r="E173" s="29" t="str">
        <x:v>2025-02-21</x:v>
      </x:c>
      <x:c r="F173" s="29" t="str">
        <x:v>Consolidated balance sheet, current liabilities plus noncurrent liabilities; independently reconciled to assets minus equity</x:v>
      </x:c>
      <x:c r="G173" s="29" t="str">
        <x:v>{"value": "12325700000", "unit": "USD", "scale": "1", "definition": "Verified source Total Liabilities", "basis": "", "excerpt": "{\"current\": [{\"end\": \"2024-12-31\", \"val\": 5474400000, \"accn\": \"0001402057-25-000018\", \"fy\": 2024, \"fp\": \"FY\", \"form\": \"10-K\", \"filed\": \"2025-02-21\"}, {\"end\": \"2024-12-31\", \"val\": 5474400000, \"accn\": \"0001402057-25-000096\", \"fy\": 2025, \"fp\": \"Q1\", \"form\": \"10-Q\", \"filed\": \"2025-05-07\"}, {\"end\": \"2024-12-31\", \"val\": 5474400000, \"accn\": \"0001402057-25-000145\", \"fy\": 2025, \"fp\": \"Q2\", \"form\": \"10-Q\", \"filed\": \"2025-08-06\"}, {\"end\": \"2024-12-31\", \"val\": 5474400000, \"accn\": \"0001402057-25-000193\", \"fy\": 2025, \"fp\": \"Q3\", \"form\": \"10-Q\", \"filed\": \"2025-11-04\"}, {\"end\": \"2024-12-31\", \"val\": 5474400000, \"accn\": \"0001402057-26-000011\", \"fy\": 2025, \"fp\": \"FY\", \"form\": \"10-K\", \"filed\": \"2026-02-20\", \"frame\": \"CY2024Q4I\"}], \"noncurrent\": [{\"end\": \"2024-12-31\", \"val\": 6851300000, \"accn\": \"0001402057-25-000018\", \"fy\": 2024, \"fp\": \"FY\", \"form\": \"10-K\", \"filed\": \"2025-02-21\"}, {\"end\": \"2024-12-31\", \"val\": 6851300000, \"accn\": \"0001402057-25-000096\", \"fy\": 2025, \"fp\": \"Q1\", \"form\": \"10-Q\", \"filed\": \"2025-05-07\"}, {\"end\": \"2024-12-31\", \"val\": 6851300000, \"accn\": \"0001402057-25-000145\", \"fy\": 2025, \"fp\": \"Q2\", \"form\": \"10-Q\", \"filed\": \"2025-08-06\"}, {\"end\": \"2024-12-31\", \"val\": 6851300000, \"accn\": \"0001402057-25-000193\", \"fy\": 2025, \"fp\": \"Q3\", \"form\": \"10-Q\", \"filed\": \"2025-11-04\"}, {\"end\": \"2024-12-31\", \"val\": 6851300000, \"accn\": \"0001402057-26-000011\", \"fy\": 2025, \"fp\": \"FY\", \"form\": \"10-K\", \"filed\": \"2026-02-20\", \"frame\": \"CY2024Q4I\"}]}", "source_url": "https://www.sec.gov/Archives/edgar/data/1402057/000140205725000018/cdw-20241231.htm", "reason": ""}</x:v>
      </x:c>
    </x:row>
    <x:row r="174" ht="252" customHeight="1">
      <x:c r="A174" s="29" t="str">
        <x:v>supp:aa0735179a0999c2a27375c69313f7ecfe2ac085e2e162e6320372f753367739</x:v>
      </x:c>
      <x:c r="B174" s="29" t="str">
        <x:v>fact</x:v>
      </x:c>
      <x:c r="C174" s="29" t="str">
        <x:v>0001402057-26-000011</x:v>
      </x:c>
      <x:c r="D174" s="29" t="str">
        <x:v>0001402057-26-000011</x:v>
      </x:c>
      <x:c r="E174" s="29" t="str">
        <x:v>2026-02-20</x:v>
      </x:c>
      <x:c r="F174" s="29" t="str">
        <x:v>Consolidated balance sheet, current liabilities plus noncurrent liabilities; independently reconciled to assets minus equity</x:v>
      </x:c>
      <x:c r="G174" s="29" t="str">
        <x:v>{"value": "13422100000", "unit": "USD", "scale": "1", "definition": "Verified source Total Liabilities", "basis": "", "excerpt": "{\"current\": [{\"end\": \"2025-12-31\", \"val\": 7226100000, \"accn\": \"0001402057-26-000011\", \"fy\": 2025, \"fp\": \"FY\", \"form\": \"10-K\", \"filed\": \"2026-02-20\"}, {\"end\": \"2025-12-31\", \"val\": 7226100000, \"accn\": \"0001402057-26-000025\", \"fy\": 2026, \"fp\": \"Q1\", \"form\": \"10-Q\", \"filed\": \"2026-05-06\"}, {\"end\": \"2025-12-31\", \"val\": 7226100000, \"accn\": \"0001402057-26-000065\", \"fy\": 2026, \"fp\": \"Q2\", \"form\": \"10-Q\", \"filed\": \"2026-08-05\", \"frame\": \"CY2025Q4I\"}], \"noncurrent\": [{\"end\": \"2025-12-31\", \"val\": 6196000000, \"accn\": \"0001402057-26-000011\", \"fy\": 2025, \"fp\": \"FY\", \"form\": \"10-K\", \"filed\": \"2026-02-20\"}, {\"end\": \"2025-12-31\", \"val\": 6196000000, \"accn\": \"0001402057-26-000025\", \"fy\": 2026, \"fp\": \"Q1\", \"form\": \"10-Q\", \"filed\": \"2026-05-06\"}, {\"end\": \"2025-12-31\", \"val\": 6196000000, \"accn\": \"0001402057-26-000065\", \"fy\": 2026, \"fp\": \"Q2\", \"form\": \"10-Q\", \"filed\": \"2026-08-05\", \"frame\": \"CY2025Q4I\"}]}", "source_url": "https://www.sec.gov/Archives/edgar/data/1402057/000140205726000011/cdw-20251231.htm", "reason": ""}</x:v>
      </x:c>
    </x:row>
    <x:row r="175" ht="126" customHeight="1">
      <x:c r="A175" s="29" t="str">
        <x:v>supp:719632badf59403a82f7384336ce761cf4c122c1b7c88460dc6d9a05a44d14bf</x:v>
      </x:c>
      <x:c r="B175" s="29" t="str">
        <x:v>fact</x:v>
      </x:c>
      <x:c r="C175" s="29" t="str">
        <x:v>0001402057-25-000145</x:v>
      </x:c>
      <x:c r="D175" s="29" t="str">
        <x:v>0001402057-25-000145</x:v>
      </x:c>
      <x:c r="E175" s="29" t="str">
        <x:v>2025-08-06</x:v>
      </x:c>
      <x:c r="F175" s="29" t="str">
        <x:v>Consolidated balance sheet, current liabilities plus noncurrent liabilities; independently reconciled to assets minus equity</x:v>
      </x:c>
      <x:c r="G175" s="29" t="str">
        <x:v>{"value": "12798500000", "unit": "USD", "scale": "1", "definition": "Verified source Total Liabilities", "basis": "", "excerpt": "{\"current\": [{\"end\": \"2025-06-30\", \"val\": 5805700000, \"accn\": \"0001402057-25-000145\", \"fy\": 2025, \"fp\": \"Q2\", \"form\": \"10-Q\", \"filed\": \"2025-08-06\", \"frame\": \"CY2025Q2I\"}], \"noncurrent\": [{\"end\": \"2025-06-30\", \"val\": 6992800000, \"accn\": \"0001402057-25-000145\", \"fy\": 2025, \"fp\": \"Q2\", \"form\": \"10-Q\", \"filed\": \"2025-08-06\", \"frame\": \"CY2025Q2I\"}]}", "source_url": "https://www.sec.gov/Archives/edgar/data/1402057/000140205725000145/cdw-20250630.htm", "reason": ""}</x:v>
      </x:c>
    </x:row>
    <x:row r="176" ht="56" customHeight="1">
      <x:c r="A176" s="29" t="str">
        <x:v>sec:39dc91a5eca1f35c35b965c52a7822acf4fd26e98e2e4731e369f7a58e9f60e5</x:v>
      </x:c>
      <x:c r="B176" s="29" t="str">
        <x:v>fact</x:v>
      </x:c>
      <x:c r="C176" s="29" t="str">
        <x:v>0001402057-26-000065</x:v>
      </x:c>
      <x:c r="D176" s="29" t="str">
        <x:v>0001402057-26-000065:2026-08-05</x:v>
      </x:c>
      <x:c r="E176" s="29" t="str">
        <x:v>2026-08-05</x:v>
      </x:c>
      <x:c r="F176" s="29" t="str">
        <x:v>{"entry": {"accn": "0001402057-26-000065", "end": "2026-06-30", "filed": "2026-08-05", "form": "10-Q", "fp": "Q2", "fy": 2026, "start": "2026-01-01", "val": 509800000}, "namespace": "us-gaap", "tag": "NetIncomeLoss", "unit": "USD"}</x:v>
      </x:c>
      <x:c r="G176" s="29" t="str">
        <x:v>{"value": "509800000", "unit": "USD", "scale": "1", "definition": "NetIncomeLoss", "basis": "", "excerpt": null, "source_url": "https://data.sec.gov/api/xbrl/companyfacts/CIK0001402057.json", "reason": ""}</x:v>
      </x:c>
    </x:row>
    <x:row r="177" ht="56" customHeight="1">
      <x:c r="A177" s="29" t="str">
        <x:v>sec:3c97537d7a2815c52a859abe148c082925dc5097ee5e98a5cf734eec48523244</x:v>
      </x:c>
      <x:c r="B177" s="29" t="str">
        <x:v>fact</x:v>
      </x:c>
      <x:c r="C177" s="29" t="str">
        <x:v>0001402057-26-000065</x:v>
      </x:c>
      <x:c r="D177" s="29" t="str">
        <x:v>0001402057-26-000065:2026-08-05</x:v>
      </x:c>
      <x:c r="E177" s="29" t="str">
        <x:v>2026-08-05</x:v>
      </x:c>
      <x:c r="F177" s="29" t="str">
        <x:v>{"entry": {"accn": "0001402057-26-000065", "end": "2025-06-30", "filed": "2026-08-05", "form": "10-Q", "fp": "Q2", "fy": 2026, "start": "2025-01-01", "val": 496100000}, "namespace": "us-gaap", "tag": "NetIncomeLoss", "unit": "USD"}</x:v>
      </x:c>
      <x:c r="G177" s="29" t="str">
        <x:v>{"value": "496100000", "unit": "USD", "scale": "1", "definition": "NetIncomeLoss", "basis": "", "excerpt": null, "source_url": "https://data.sec.gov/api/xbrl/companyfacts/CIK0001402057.json", "reason": ""}</x:v>
      </x:c>
    </x:row>
    <x:row r="178" ht="56" customHeight="1">
      <x:c r="A178" s="29" t="str">
        <x:v>sec:a39fe009bc306d303cf6bd61eb4a92b1b028cd59a7d6312941015b6f5f3c8c96</x:v>
      </x:c>
      <x:c r="B178" s="29" t="str">
        <x:v>fact</x:v>
      </x:c>
      <x:c r="C178" s="29" t="str">
        <x:v>0001402057-25-000145</x:v>
      </x:c>
      <x:c r="D178" s="29" t="str">
        <x:v>0001402057-25-000145:2025-08-06</x:v>
      </x:c>
      <x:c r="E178" s="29" t="str">
        <x:v>2025-08-06</x:v>
      </x:c>
      <x:c r="F178" s="29" t="str">
        <x:v>{"entry": {"accn": "0001402057-25-000145", "end": "2025-06-30", "filed": "2025-08-06", "form": "10-Q", "fp": "Q2", "fy": 2025, "start": "2025-01-01", "val": 496100000}, "namespace": "us-gaap", "tag": "NetIncomeLoss", "unit": "USD"}</x:v>
      </x:c>
      <x:c r="G178" s="29" t="str">
        <x:v>{"value": "496100000", "unit": "USD", "scale": "1", "definition": "NetIncomeLoss", "basis": "", "excerpt": null, "source_url": "https://data.sec.gov/api/xbrl/companyfacts/CIK0001402057.json", "reason": ""}</x:v>
      </x:c>
    </x:row>
    <x:row r="179" ht="98" customHeight="1">
      <x:c r="A179" s="29" t="str">
        <x:v>supp:dde062cf9ef73f91e2b9fefdddc661ad24d48b8f9fa542ac1b9a62f7f0ff5483</x:v>
      </x:c>
      <x:c r="B179" s="29" t="str">
        <x:v>fact</x:v>
      </x:c>
      <x:c r="C179" s="29" t="str">
        <x:v>0001402057-26-000065</x:v>
      </x:c>
      <x:c r="D179" s="29" t="str">
        <x:v>0001402057-26-000065</x:v>
      </x:c>
      <x:c r="E179" s="29" t="str">
        <x:v>2026-08-05</x:v>
      </x:c>
      <x:c r="F179" s="29" t="str">
        <x:v>Consolidated statements of operations, Selling and administrative expenses; verified gross profit minus S&amp;A equals operating income</x:v>
      </x:c>
      <x:c r="G179" s="29" t="str">
        <x:v>{"value": "1705200000", "unit": "USD", "scale": "1", "definition": "Operating expense excluding cost of revenue; verified scope", "basis": "", "excerpt": "[{\"start\": \"2026-01-01\", \"end\": \"2026-06-30\", \"val\": 1705200000, \"accn\": \"0001402057-26-000065\", \"fy\": 2026, \"fp\": \"Q2\", \"form\": \"10-Q\", \"filed\": \"2026-08-05\"}]", "source_url": "https://www.sec.gov/Archives/edgar/data/1402057/000140205726000065/cdw-20260630.htm", "reason": ""}</x:v>
      </x:c>
    </x:row>
    <x:row r="180" ht="126" customHeight="1">
      <x:c r="A180" s="29" t="str">
        <x:v>supp:eab13ebdf1effebefa6ded9815c37062b50588b7a5c5d9c1da7eb1c94ea81b7a</x:v>
      </x:c>
      <x:c r="B180" s="29" t="str">
        <x:v>fact</x:v>
      </x:c>
      <x:c r="C180" s="29" t="str">
        <x:v>0001402057-25-000145</x:v>
      </x:c>
      <x:c r="D180" s="29" t="str">
        <x:v>0001402057-25-000145</x:v>
      </x:c>
      <x:c r="E180" s="29" t="str">
        <x:v>2025-08-06</x:v>
      </x:c>
      <x:c r="F180" s="29" t="str">
        <x:v>Consolidated statements of operations, Selling and administrative expenses; verified gross profit minus S&amp;A equals operating income</x:v>
      </x:c>
      <x:c r="G180" s="29" t="str">
        <x:v>{"value": "1581900000", "unit": "USD", "scale": "1", "definition": "Operating expense excluding cost of revenue; verified scope", "basis": "", "excerpt": "[{\"start\": \"2025-01-01\", \"end\": \"2025-06-30\", \"val\": 1581900000, \"accn\": \"0001402057-25-000145\", \"fy\": 2025, \"fp\": \"Q2\", \"form\": \"10-Q\", \"filed\": \"2025-08-06\"}, {\"start\": \"2025-01-01\", \"end\": \"2025-06-30\", \"val\": 1581900000, \"accn\": \"0001402057-26-000065\", \"fy\": 2026, \"fp\": \"Q2\", \"form\": \"10-Q\", \"filed\": \"2026-08-05\"}]", "source_url": "https://www.sec.gov/Archives/edgar/data/1402057/000140205725000145/cdw-20250630.htm", "reason": ""}</x:v>
      </x:c>
    </x:row>
    <x:row r="181" ht="56" customHeight="1">
      <x:c r="A181" s="29" t="str">
        <x:v>sec:459074c947bb37fc521fb22acb9007b0dfa46186ea465b99be59b6fe61ac4fa9</x:v>
      </x:c>
      <x:c r="B181" s="29" t="str">
        <x:v>fact</x:v>
      </x:c>
      <x:c r="C181" s="29" t="str">
        <x:v>0001402057-26-000065</x:v>
      </x:c>
      <x:c r="D181" s="29" t="str">
        <x:v>0001402057-26-000065:2026-08-05</x:v>
      </x:c>
      <x:c r="E181" s="29" t="str">
        <x:v>2026-08-05</x:v>
      </x:c>
      <x:c r="F181" s="29" t="str">
        <x:v>{"entry": {"accn": "0001402057-26-000065", "end": "2026-06-30", "filed": "2026-08-05", "form": "10-Q", "fp": "Q2", "fy": 2026, "start": "2026-01-01", "val": 804600000}, "namespace": "us-gaap", "tag": "OperatingIncomeLoss", "unit": "USD"}</x:v>
      </x:c>
      <x:c r="G181" s="29" t="str">
        <x:v>{"value": "804600000", "unit": "USD", "scale": "1", "definition": "OperatingIncomeLoss", "basis": "", "excerpt": null, "source_url": "https://data.sec.gov/api/xbrl/companyfacts/CIK0001402057.json", "reason": ""}</x:v>
      </x:c>
    </x:row>
    <x:row r="182" ht="56" customHeight="1">
      <x:c r="A182" s="29" t="str">
        <x:v>sec:6501897a2a9c719b8a4917bffeed375f62bea5a03b6df5da62d73d731bb567b3</x:v>
      </x:c>
      <x:c r="B182" s="29" t="str">
        <x:v>fact</x:v>
      </x:c>
      <x:c r="C182" s="29" t="str">
        <x:v>0001402057-25-000145</x:v>
      </x:c>
      <x:c r="D182" s="29" t="str">
        <x:v>0001402057-25-000145:2025-08-06</x:v>
      </x:c>
      <x:c r="E182" s="29" t="str">
        <x:v>2025-08-06</x:v>
      </x:c>
      <x:c r="F182" s="29" t="str">
        <x:v>{"entry": {"accn": "0001402057-25-000145", "end": "2025-06-30", "filed": "2025-08-06", "form": "10-Q", "fp": "Q2", "fy": 2025, "start": "2025-01-01", "val": 781600000}, "namespace": "us-gaap", "tag": "OperatingIncomeLoss", "unit": "USD"}</x:v>
      </x:c>
      <x:c r="G182" s="29" t="str">
        <x:v>{"value": "781600000", "unit": "USD", "scale": "1", "definition": "OperatingIncomeLoss", "basis": "", "excerpt": null, "source_url": "https://data.sec.gov/api/xbrl/companyfacts/CIK0001402057.json", "reason": ""}</x:v>
      </x:c>
    </x:row>
    <x:row r="183" ht="56" customHeight="1">
      <x:c r="A183" s="29" t="str">
        <x:v>sec:33117a5cb98262c56689916f7667459a968ff4c2da732abcd7ff39ad01ddeb77</x:v>
      </x:c>
      <x:c r="B183" s="29" t="str">
        <x:v>fact</x:v>
      </x:c>
      <x:c r="C183" s="29" t="str">
        <x:v>0001402057-26-000065</x:v>
      </x:c>
      <x:c r="D183" s="29" t="str">
        <x:v>0001402057-26-000065:2026-08-05</x:v>
      </x:c>
      <x:c r="E183" s="29" t="str">
        <x:v>2026-08-05</x:v>
      </x:c>
      <x:c r="F183" s="29" t="str">
        <x:v>{"entry": {"accn": "0001402057-26-000065", "end": "2025-06-30", "filed": "2026-08-05", "form": "10-Q", "fp": "Q2", "fy": 2026, "start": "2025-01-01", "val": 781600000}, "namespace": "us-gaap", "tag": "OperatingIncomeLoss", "unit": "USD"}</x:v>
      </x:c>
      <x:c r="G183" s="29" t="str">
        <x:v>{"value": "781600000", "unit": "USD", "scale": "1", "definition": "OperatingIncomeLoss", "basis": "", "excerpt": null, "source_url": "https://data.sec.gov/api/xbrl/companyfacts/CIK0001402057.json", "reason": ""}</x:v>
      </x:c>
    </x:row>
    <x:row r="184" ht="70" customHeight="1">
      <x:c r="A184" s="29" t="str">
        <x:v>sec:54c66c1ce7a1ba5fb8b3693f07417a7773451ea62cafaf95be8fe2b3ffd5ad4c</x:v>
      </x:c>
      <x:c r="B184" s="29" t="str">
        <x:v>fact</x:v>
      </x:c>
      <x:c r="C184" s="29" t="str">
        <x:v>0001402057-26-000065</x:v>
      </x:c>
      <x:c r="D184" s="29" t="str">
        <x:v>0001402057-26-000065:2026-08-05</x:v>
      </x:c>
      <x:c r="E184" s="29" t="str">
        <x:v>2026-08-05</x:v>
      </x:c>
      <x:c r="F184" s="29" t="str">
        <x:v>{"entry": {"accn": "0001402057-26-000065", "end": "2026-06-30", "filed": "2026-08-05", "form": "10-Q", "fp": "Q2", "fy": 2026, "start": "2026-01-01", "val": 691900000}, "namespace": "us-gaap", "tag": "IncomeLossFromContinuingOperationsBeforeIncomeTaxesExtraordinaryItemsNoncontrollingInterest", "unit": "USD"}</x:v>
      </x:c>
      <x:c r="G184" s="29" t="str">
        <x:v>{"value": "691900000", "unit": "USD", "scale": "1", "definition": "IncomeLossFromContinuingOperationsBeforeIncomeTaxesExtraordinaryItemsNoncontrollingInterest", "basis": "", "excerpt": null, "source_url": "https://data.sec.gov/api/xbrl/companyfacts/CIK0001402057.json", "reason": ""}</x:v>
      </x:c>
    </x:row>
    <x:row r="185" ht="70" customHeight="1">
      <x:c r="A185" s="29" t="str">
        <x:v>sec:dfda3fc7916caa3a02ee726529eb2516931032c615de9afe7a5cf9a4cf190e36</x:v>
      </x:c>
      <x:c r="B185" s="29" t="str">
        <x:v>fact</x:v>
      </x:c>
      <x:c r="C185" s="29" t="str">
        <x:v>0001402057-25-000145</x:v>
      </x:c>
      <x:c r="D185" s="29" t="str">
        <x:v>0001402057-25-000145:2025-08-06</x:v>
      </x:c>
      <x:c r="E185" s="29" t="str">
        <x:v>2025-08-06</x:v>
      </x:c>
      <x:c r="F185" s="29" t="str">
        <x:v>{"entry": {"accn": "0001402057-25-000145", "end": "2025-06-30", "filed": "2025-08-06", "form": "10-Q", "fp": "Q2", "fy": 2025, "start": "2025-01-01", "val": 668900000}, "namespace": "us-gaap", "tag": "IncomeLossFromContinuingOperationsBeforeIncomeTaxesExtraordinaryItemsNoncontrollingInterest", "unit": "USD"}</x:v>
      </x:c>
      <x:c r="G185" s="29" t="str">
        <x:v>{"value": "668900000", "unit": "USD", "scale": "1", "definition": "IncomeLossFromContinuingOperationsBeforeIncomeTaxesExtraordinaryItemsNoncontrollingInterest", "basis": "", "excerpt": null, "source_url": "https://data.sec.gov/api/xbrl/companyfacts/CIK0001402057.json", "reason": ""}</x:v>
      </x:c>
    </x:row>
    <x:row r="186" ht="70" customHeight="1">
      <x:c r="A186" s="29" t="str">
        <x:v>sec:c0200a6aa10b12e007e3814439f7e03fdd247d748b65d59517d18d2c6959702e</x:v>
      </x:c>
      <x:c r="B186" s="29" t="str">
        <x:v>fact</x:v>
      </x:c>
      <x:c r="C186" s="29" t="str">
        <x:v>0001402057-26-000065</x:v>
      </x:c>
      <x:c r="D186" s="29" t="str">
        <x:v>0001402057-26-000065:2026-08-05</x:v>
      </x:c>
      <x:c r="E186" s="29" t="str">
        <x:v>2026-08-05</x:v>
      </x:c>
      <x:c r="F186" s="29" t="str">
        <x:v>{"entry": {"accn": "0001402057-26-000065", "end": "2025-06-30", "filed": "2026-08-05", "form": "10-Q", "fp": "Q2", "fy": 2026, "start": "2025-01-01", "val": 668900000}, "namespace": "us-gaap", "tag": "IncomeLossFromContinuingOperationsBeforeIncomeTaxesExtraordinaryItemsNoncontrollingInterest", "unit": "USD"}</x:v>
      </x:c>
      <x:c r="G186" s="29" t="str">
        <x:v>{"value": "668900000", "unit": "USD", "scale": "1", "definition": "IncomeLossFromContinuingOperationsBeforeIncomeTaxesExtraordinaryItemsNoncontrollingInterest", "basis": "", "excerpt": null, "source_url": "https://data.sec.gov/api/xbrl/companyfacts/CIK0001402057.json", "reason": ""}</x:v>
      </x:c>
    </x:row>
    <x:row r="187" ht="70" customHeight="1">
      <x:c r="A187" s="29" t="str">
        <x:v>sec:9c64537d98f47d90080ecfc07e22e8d27cd9b00fe48c5357551defd95fc25ffb</x:v>
      </x:c>
      <x:c r="B187" s="29" t="str">
        <x:v>fact</x:v>
      </x:c>
      <x:c r="C187" s="29" t="str">
        <x:v>0001402057-26-000065</x:v>
      </x:c>
      <x:c r="D187" s="29" t="str">
        <x:v>0001402057-26-000065:2026-08-05</x:v>
      </x:c>
      <x:c r="E187" s="29" t="str">
        <x:v>2026-08-05</x:v>
      </x:c>
      <x:c r="F187" s="29" t="str">
        <x:v>{"entry": {"accn": "0001402057-26-000065", "end": "2026-06-30", "filed": "2026-08-05", "form": "10-Q", "fp": "Q2", "fy": 2026, "start": "2026-01-01", "val": 12252000000}, "namespace": "us-gaap", "tag": "RevenueFromContractWithCustomerExcludingAssessedTax", "unit": "USD"}</x:v>
      </x:c>
      <x:c r="G187" s="29" t="str">
        <x:v>{"value": "12252000000", "unit": "USD", "scale": "1", "definition": "RevenueFromContractWithCustomerExcludingAssessedTax", "basis": "", "excerpt": null, "source_url": "https://data.sec.gov/api/xbrl/companyfacts/CIK0001402057.json", "reason": ""}</x:v>
      </x:c>
    </x:row>
    <x:row r="188" ht="70" customHeight="1">
      <x:c r="A188" s="29" t="str">
        <x:v>sec:7ece8848bce837d09b862c5e5b6da402112783c7a0d4f71e261ac701d0c48b00</x:v>
      </x:c>
      <x:c r="B188" s="29" t="str">
        <x:v>fact</x:v>
      </x:c>
      <x:c r="C188" s="29" t="str">
        <x:v>0001402057-26-000065</x:v>
      </x:c>
      <x:c r="D188" s="29" t="str">
        <x:v>0001402057-26-000065:2026-08-05</x:v>
      </x:c>
      <x:c r="E188" s="29" t="str">
        <x:v>2026-08-05</x:v>
      </x:c>
      <x:c r="F188" s="29" t="str">
        <x:v>{"entry": {"accn": "0001402057-26-000065", "end": "2025-06-30", "filed": "2026-08-05", "form": "10-Q", "fp": "Q2", "fy": 2026, "start": "2025-01-01", "val": 11175700000}, "namespace": "us-gaap", "tag": "RevenueFromContractWithCustomerExcludingAssessedTax", "unit": "USD"}</x:v>
      </x:c>
      <x:c r="G188" s="29" t="str">
        <x:v>{"value": "11175700000", "unit": "USD", "scale": "1", "definition": "RevenueFromContractWithCustomerExcludingAssessedTax", "basis": "", "excerpt": null, "source_url": "https://data.sec.gov/api/xbrl/companyfacts/CIK0001402057.json", "reason": ""}</x:v>
      </x:c>
    </x:row>
    <x:row r="189" ht="70" customHeight="1">
      <x:c r="A189" s="29" t="str">
        <x:v>sec:1a968cdb1a8096963ee4d00701ad5be731f101f0b187ed43cf245d8a8355c141</x:v>
      </x:c>
      <x:c r="B189" s="29" t="str">
        <x:v>fact</x:v>
      </x:c>
      <x:c r="C189" s="29" t="str">
        <x:v>0001402057-25-000145</x:v>
      </x:c>
      <x:c r="D189" s="29" t="str">
        <x:v>0001402057-25-000145:2025-08-06</x:v>
      </x:c>
      <x:c r="E189" s="29" t="str">
        <x:v>2025-08-06</x:v>
      </x:c>
      <x:c r="F189" s="29" t="str">
        <x:v>{"entry": {"accn": "0001402057-25-000145", "end": "2025-06-30", "filed": "2025-08-06", "form": "10-Q", "fp": "Q2", "fy": 2025, "start": "2025-01-01", "val": 11175700000}, "namespace": "us-gaap", "tag": "RevenueFromContractWithCustomerExcludingAssessedTax", "unit": "USD"}</x:v>
      </x:c>
      <x:c r="G189" s="29" t="str">
        <x:v>{"value": "11175700000", "unit": "USD", "scale": "1", "definition": "RevenueFromContractWithCustomerExcludingAssessedTax", "basis": "", "excerpt": null, "source_url": "https://data.sec.gov/api/xbrl/companyfacts/CIK0001402057.json", "reason": ""}</x:v>
      </x:c>
    </x:row>
    <x:row r="190" ht="392" customHeight="1">
      <x:c r="A190" s="29" t="str">
        <x:v>supp:e430739a95e8180e3e1f0ec0945668c8a6e1fa20fd4a890aa62c5d9090d5affb</x:v>
      </x:c>
      <x:c r="B190" s="29" t="str">
        <x:v>fact</x:v>
      </x:c>
      <x:c r="C190" s="29" t="str">
        <x:v>0001402057-26-000065</x:v>
      </x:c>
      <x:c r="D190" s="29" t="str">
        <x:v>0001402057-26-000065</x:v>
      </x:c>
      <x:c r="E190" s="29" t="str">
        <x:v>2026-08-05</x:v>
      </x:c>
      <x:c r="F190" s="29" t="str">
        <x:v>Debt note gross debt components before issuance costs; include separately disclosed interest-bearing product financing of USD 62m in June 2026; exclude non-interest supplier financing and operating leases</x:v>
      </x:c>
      <x:c r="G190" s="29" t="str">
        <x:v>{"value": "5900900000", "unit": "USD", "scale": "1", "definition": "Consolidated interest-bearing borrowings, bonds and finance lease liabilities, including current portions once; exclude operating lease liabilities and trade payables", "basis": "", "excerpt": "[{\"end\": \"2026-06-30\", \"val\": 5838900000, \"accn\": \"0001402057-26-000065\", \"fy\": 2026, \"fp\": \"Q2\", \"form\": \"10-Q\", \"filed\": \"2026-08-05\", \"frame\": \"CY2026Q2I\"}]\nProduct Financing In 2026, the Company entered into a financing arrangement involving an independent third-party intermediary to facilitate the fulfillment of a customer contract. In this arrangement, the intermediary procures and holds legal title to certain inventory, destined for the customer, but the Company retains control over the inventory’s economic benefits and risks. Accordingly, the inventory is included on the Consolidated Balance Sheets within Merchandise inventory, and the related obligation to the intermediary is recorded within Accounts payable-inventory financing. The purchase price with the intermediary is set at the original cost plus contractual financing costs, which are recognized as interest expense over the term of the arrangement. The arrangement is designed to support the inventory held for customer fulfillment over an extended delivery period, resulting in financing terms that may exceed 90 days. The amounts outstanding under this agreement as of June 30, 2026 were $ 62 million. 11 Table of Contents CDW CORPORATION AND SUBSIDIARIES NOTES TO CONSOLIDATED FINANCIAL STATEMENTS (dollars in millions, except per share data, unless otherwise noted) 6. Debt June 30, 2026 December 31, 2025 Maturity Date Interest Rate Amount Amount Credit Facility Senior unsecured revolving loan facility December 2030 Variable $ 175.0 $ — Term Loan Senior unsecured term loan facility December 2030 Variable 634.5 634.5 Unsecured Senior Notes Senior notes due 2026 December 2026", "source_url": "https://www.sec.gov/Archives/edgar/data/1402057/000140205726000065/cdw-20260630.htm", "reason": ""}</x:v>
      </x:c>
    </x:row>
    <x:row r="191" ht="238" customHeight="1">
      <x:c r="A191" s="29" t="str">
        <x:v>supp:c303da779d7cd2683d2d68a0883b30afa7be7d0813549a4437446ca74a5e40fe</x:v>
      </x:c>
      <x:c r="B191" s="29" t="str">
        <x:v>fact</x:v>
      </x:c>
      <x:c r="C191" s="29" t="str">
        <x:v>0001402057-25-000018</x:v>
      </x:c>
      <x:c r="D191" s="29" t="str">
        <x:v>0001402057-25-000018</x:v>
      </x:c>
      <x:c r="E191" s="29" t="str">
        <x:v>2025-02-21</x:v>
      </x:c>
      <x:c r="F191" s="29" t="str">
        <x:v>Debt note gross debt components before issuance costs; include separately disclosed interest-bearing product financing of USD 62m in June 2026; exclude non-interest supplier financing and operating leases</x:v>
      </x:c>
      <x:c r="G191" s="29" t="str">
        <x:v>{"value": "5875600000", "unit": "USD", "scale": "1", "definition": "Consolidated interest-bearing borrowings, bonds and finance lease liabilities, including current portions once; exclude operating lease liabilities and trade payables", "basis": "", "excerpt": "[{\"end\": \"2024-12-31\", \"val\": 5875600000, \"accn\": \"0001402057-25-000018\", \"fy\": 2024, \"fp\": \"FY\", \"form\": \"10-K\", \"filed\": \"2025-02-21\"}, {\"end\": \"2024-12-31\", \"val\": 5875600000, \"accn\": \"0001402057-25-000096\", \"fy\": 2025, \"fp\": \"Q1\", \"form\": \"10-Q\", \"filed\": \"2025-05-07\"}, {\"end\": \"2024-12-31\", \"val\": 5875600000, \"accn\": \"0001402057-25-000145\", \"fy\": 2025, \"fp\": \"Q2\", \"form\": \"10-Q\", \"filed\": \"2025-08-06\"}, {\"end\": \"2024-12-31\", \"val\": 5875600000, \"accn\": \"0001402057-25-000193\", \"fy\": 2025, \"fp\": \"Q3\", \"form\": \"10-Q\", \"filed\": \"2025-11-04\"}, {\"end\": \"2024-12-31\", \"val\": 5875600000, \"accn\": \"0001402057-26-000011\", \"fy\": 2025, \"fp\": \"FY\", \"form\": \"10-K\", \"filed\": \"2026-02-20\", \"frame\": \"CY2024Q4I\"}]", "source_url": "https://www.sec.gov/Archives/edgar/data/1402057/000140205725000018/cdw-20241231.htm", "reason": ""}</x:v>
      </x:c>
    </x:row>
    <x:row r="192" ht="168" customHeight="1">
      <x:c r="A192" s="29" t="str">
        <x:v>supp:ee93b54716414fe34d57fdb763d410fefb9f1c31776f85a3781cb38d92d522d7</x:v>
      </x:c>
      <x:c r="B192" s="29" t="str">
        <x:v>fact</x:v>
      </x:c>
      <x:c r="C192" s="29" t="str">
        <x:v>0001402057-26-000011</x:v>
      </x:c>
      <x:c r="D192" s="29" t="str">
        <x:v>0001402057-26-000011</x:v>
      </x:c>
      <x:c r="E192" s="29" t="str">
        <x:v>2026-02-20</x:v>
      </x:c>
      <x:c r="F192" s="29" t="str">
        <x:v>Debt note gross debt components before issuance costs; include separately disclosed interest-bearing product financing of USD 62m in June 2026; exclude non-interest supplier financing and operating leases</x:v>
      </x:c>
      <x:c r="G192" s="29" t="str">
        <x:v>{"value": "5655300000", "unit": "USD", "scale": "1", "definition": "Consolidated interest-bearing borrowings, bonds and finance lease liabilities, including current portions once; exclude operating lease liabilities and trade payables", "basis": "", "excerpt": "[{\"end\": \"2025-12-31\", \"val\": 5655300000, \"accn\": \"0001402057-26-000011\", \"fy\": 2025, \"fp\": \"FY\", \"form\": \"10-K\", \"filed\": \"2026-02-20\"}, {\"end\": \"2025-12-31\", \"val\": 5655300000, \"accn\": \"0001402057-26-000025\", \"fy\": 2026, \"fp\": \"Q1\", \"form\": \"10-Q\", \"filed\": \"2026-05-06\"}, {\"end\": \"2025-12-31\", \"val\": 5655300000, \"accn\": \"0001402057-26-000065\", \"fy\": 2026, \"fp\": \"Q2\", \"form\": \"10-Q\", \"filed\": \"2026-08-05\", \"frame\": \"CY2025Q4I\"}]", "source_url": "https://www.sec.gov/Archives/edgar/data/1402057/000140205726000011/cdw-20251231.htm", "reason": ""}</x:v>
      </x:c>
    </x:row>
    <x:row r="193" ht="112" customHeight="1">
      <x:c r="A193" s="29" t="str">
        <x:v>supp:9bbf6994673f9af4be0c41dc94a5dc69c18b17618a332cf4e327d1af0bc0c933</x:v>
      </x:c>
      <x:c r="B193" s="29" t="str">
        <x:v>fact</x:v>
      </x:c>
      <x:c r="C193" s="29" t="str">
        <x:v>0001402057-25-000145</x:v>
      </x:c>
      <x:c r="D193" s="29" t="str">
        <x:v>0001402057-25-000145</x:v>
      </x:c>
      <x:c r="E193" s="29" t="str">
        <x:v>2025-08-06</x:v>
      </x:c>
      <x:c r="F193" s="29" t="str">
        <x:v>Debt note gross debt components before issuance costs; include separately disclosed interest-bearing product financing of USD 62m in June 2026; exclude non-interest supplier financing and operating leases</x:v>
      </x:c>
      <x:c r="G193" s="29" t="str">
        <x:v>{"value": "5661600000", "unit": "USD", "scale": "1", "definition": "Consolidated interest-bearing borrowings, bonds and finance lease liabilities, including current portions once; exclude operating lease liabilities and trade payables", "basis": "", "excerpt": "[{\"end\": \"2025-06-30\", \"val\": 5661600000, \"accn\": \"0001402057-25-000145\", \"fy\": 2025, \"fp\": \"Q2\", \"form\": \"10-Q\", \"filed\": \"2025-08-06\", \"frame\": \"CY2025Q2I\"}]", "source_url": "https://www.sec.gov/Archives/edgar/data/1402057/000140205725000145/cdw-20250630.htm", "reason": ""}</x:v>
      </x:c>
    </x:row>
    <x:row r="194" ht="32" customHeight="1">
      <x:c r="A194" s="29" t="str">
        <x:v>approval:formal-review-integration:DEC-11</x:v>
      </x:c>
      <x:c r="B194" s="29" t="str">
        <x:v>definition</x:v>
      </x:c>
      <x:c r="C194" s="29" t="str">
        <x:v>user-approved-integration</x:v>
      </x:c>
      <x:c r="D194" s="29" t="str">
        <x:v>formal-review-integration-v1</x:v>
      </x:c>
      <x:c r="E194" s="29" t="str">
        <x:v>2026-10-27</x:v>
      </x:c>
      <x:c r="F194" s="29" t="str">
        <x:v>references/loan-review-integration.md</x:v>
      </x:c>
      <x:c r="G194" s="29" t="str">
        <x:v>Dashboard authorized; display canonical formal facts and acceptance state</x:v>
      </x:c>
    </x:row>
  </x:sheetData>
  <x:mergeCells>
    <x:mergeCell ref="A1:G1"/>
    <x:mergeCell ref="A2:G2"/>
  </x:mergeCells>
  <x:pageMargins left="0.7" right="0.7" top="0.75" bottom="0.75" header="0.3" footer="0.3"/>
</x:worksheet>
</file>