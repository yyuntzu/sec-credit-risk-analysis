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5c041cb01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4c9da73476054de8"/>
    <x:sheet xmlns:r="http://schemas.openxmlformats.org/officeDocument/2006/relationships" name="Sources" sheetId="2" r:id="Rf5cd1837d8ca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.00"/>
    <x:numFmt numFmtId="201" formatCode="0.00%;(0.00%);0.00%"/>
    <x:numFmt numFmtId="202" formatCode="0.00&quot;x&quot;;(0.00&quot;x&quot;);0.00&quot;x&quot;"/>
  </x:numFmts>
  <x:fonts count="17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4"/>
      <x:name val="Carlito"/>
    </x:font>
    <x:font>
      <x:sz val="11"/>
      <x:color rgb="FF9A3412"/>
      <x:name val="Carlito"/>
    </x:font>
    <x:font>
      <x:b/>
      <x:sz val="11"/>
      <x:name val="Carlito"/>
    </x:font>
    <x:font>
      <x:b/>
      <x:sz val="14"/>
      <x:name val="Arial"/>
    </x:font>
    <x:font>
      <x:sz val="11"/>
      <x:name val="Arial"/>
    </x:font>
    <x:font>
      <x:sz val="11"/>
      <x:color rgb="FF9A3412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0"/>
      <x:color rgb="FF9A3412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1"/>
      <x:color rgb="FF0000FF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wrapText="1"/>
    </x:xf>
    <x:xf numFmtId="201" fontId="12" fillId="0" borderId="0" xfId="0" applyNumberFormat="1" applyFont="1" applyFill="1" applyBorder="1" applyAlignment="1">
      <x:alignment wrapText="1"/>
    </x:xf>
    <x:xf numFmtId="202" fontId="12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0" fontId="15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10" fillId="2" borderId="0" xfId="0" applyNumberFormat="1" applyFont="1" applyFill="1" applyBorder="1"/>
    <x:xf numFmtId="200" fontId="12" fillId="0" borderId="0" xfId="0" applyNumberFormat="1" applyFont="1" applyFill="1" applyBorder="1"/>
    <x:xf numFmtId="0" fontId="16" fillId="0" borderId="0" xfId="0" applyNumberFormat="1" applyFont="1" applyFill="1" applyBorder="1"/>
    <x:xf numFmtId="201" fontId="12" fillId="0" borderId="0" xfId="0" applyNumberFormat="1" applyFont="1" applyFill="1" applyBorder="1"/>
    <x:xf numFmtId="202" fontId="12" fillId="0" borderId="0" xfId="0" applyNumberFormat="1" applyFont="1" applyFill="1" applyBorder="1"/>
    <x:xf numFmtId="0" fontId="1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0a116bfdd47fa" /><Relationship Type="http://schemas.openxmlformats.org/officeDocument/2006/relationships/theme" Target="/xl/theme/theme1.xml" Id="R8455cfab13464e31" /><Relationship Type="http://schemas.openxmlformats.org/officeDocument/2006/relationships/sharedStrings" Target="/xl/sharedStrings.xml" Id="Rbeabb969ab784323" /><Relationship Type="http://schemas.openxmlformats.org/officeDocument/2006/relationships/worksheet" Target="/xl/worksheets/sheet1.xml" Id="R4c9da73476054de8" /><Relationship Type="http://schemas.openxmlformats.org/officeDocument/2006/relationships/worksheet" Target="/xl/worksheets/sheet2.xml" Id="Rf5cd1837d8ca46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6" t="str">
        <x:v>NEXSTAR MEDIA GROUP, INC. · annual · USD / 1000000</x:v>
      </x:c>
      <x:c r="B1" s="17"/>
      <x:c r="C1" s="17"/>
      <x:c r="D1" s="17"/>
      <x:c r="E1" s="17"/>
      <x:c r="F1" s="17"/>
      <x:c r="G1" s="17"/>
    </x:row>
    <x:row r="2">
      <x:c r="A2" s="17"/>
      <x:c r="B2" s="17"/>
      <x:c r="C2" s="17"/>
      <x:c r="D2" s="17"/>
      <x:c r="E2" s="17"/>
      <x:c r="F2" s="17"/>
      <x:c r="G2" s="17"/>
    </x:row>
    <x:row r="3" ht="80" customHeight="1">
      <x:c r="A3" s="25" t="str">
        <x:v>待驗收覆核稿：User e-loan workpaper; SEC source and CIK not independently verified; Source publication date unknown; review date does not prove historical as-of availability; Cash flow periods/bridge and company-specific definitions remain subject to review; Required report cells are unavailable or definitions unresolved; Required analytical coverage remains incomplete; Reconciliation is incomplete or contains unexplained differences</x:v>
      </x:c>
      <x:c r="B3" s="26"/>
      <x:c r="C3" s="26"/>
      <x:c r="D3" s="26"/>
      <x:c r="E3" s="26"/>
      <x:c r="F3" s="26"/>
      <x:c r="G3" s="26"/>
    </x:row>
    <x:row r="4">
      <x:c r="A4" s="26"/>
      <x:c r="B4" s="26"/>
      <x:c r="C4" s="26"/>
      <x:c r="D4" s="26"/>
      <x:c r="E4" s="26"/>
      <x:c r="F4" s="26"/>
      <x:c r="G4" s="26"/>
    </x:row>
    <x:row r="5">
      <x:c r="A5" s="27" t="str">
        <x:v>YOY (Annual) Income</x:v>
      </x:c>
      <x:c r="B5" s="26"/>
      <x:c r="C5" s="26"/>
      <x:c r="D5" s="26"/>
      <x:c r="E5" s="26"/>
      <x:c r="F5" s="26"/>
      <x:c r="G5" s="26"/>
    </x:row>
    <x:row r="6" ht="36" customHeight="1">
      <x:c r="A6" s="28" t="str">
        <x:v>科目</x:v>
      </x:c>
      <x:c r="B6" s="28" t="str">
        <x:v>2022-01-01～2022-12-31</x:v>
      </x:c>
      <x:c r="C6" s="28" t="str">
        <x:v>2023-01-01～2023-12-31</x:v>
      </x:c>
      <x:c r="D6" s="28" t="str">
        <x:v>2024-01-01～2024-12-31</x:v>
      </x:c>
      <x:c r="E6" s="28" t="str">
        <x:v>營收占比</x:v>
      </x:c>
      <x:c r="F6" s="28" t="str">
        <x:v>2025-01-01～2025-12-31</x:v>
      </x:c>
      <x:c r="G6" s="28" t="str">
        <x:v>營收占比</x:v>
      </x:c>
    </x:row>
    <x:row r="7" ht="30" customHeight="1">
      <x:c r="A7" s="29" t="str">
        <x:v>Revenues／營業收入</x:v>
      </x:c>
      <x:c r="B7" s="30" t="n">
        <x:f>'Sources'!B4</x:f>
        <x:v>5211</x:v>
      </x:c>
      <x:c r="C7" s="30" t="n">
        <x:f>'Sources'!B5</x:f>
        <x:v>4933</x:v>
      </x:c>
      <x:c r="D7" s="30" t="n">
        <x:f>'Sources'!B6</x:f>
        <x:v>5407</x:v>
      </x:c>
      <x:c r="E7" s="31" t="n">
        <x:f>'Sources'!B7</x:f>
        <x:v>1</x:v>
      </x:c>
      <x:c r="F7" s="30" t="n">
        <x:f>'Sources'!B8</x:f>
        <x:v>4949</x:v>
      </x:c>
      <x:c r="G7" s="31" t="n">
        <x:f>'Sources'!B9</x:f>
        <x:v>1</x:v>
      </x:c>
    </x:row>
    <x:row r="8" ht="30" customHeight="1">
      <x:c r="A8" s="29" t="str">
        <x:v>Operating Cost／營業成本</x:v>
      </x:c>
      <x:c r="B8" s="30" t="n">
        <x:f>'Sources'!B10</x:f>
        <x:v>2005</x:v>
      </x:c>
      <x:c r="C8" s="30" t="n">
        <x:f>'Sources'!B11</x:f>
        <x:v>2153</x:v>
      </x:c>
      <x:c r="D8" s="30" t="n">
        <x:f>'Sources'!B12</x:f>
        <x:v>2221</x:v>
      </x:c>
      <x:c r="E8" s="31" t="n">
        <x:f>'Sources'!B13</x:f>
        <x:v>0.41076382467172184</x:v>
      </x:c>
      <x:c r="F8" s="30" t="n">
        <x:f>'Sources'!B14</x:f>
        <x:v>2235</x:v>
      </x:c>
      <x:c r="G8" s="31" t="n">
        <x:f>'Sources'!B15</x:f>
        <x:v>0.45160638512830875</x:v>
      </x:c>
    </x:row>
    <x:row r="9" ht="30" customHeight="1">
      <x:c r="A9" s="29" t="str">
        <x:v>Gross profit／毛利</x:v>
      </x:c>
      <x:c r="B9" s="30" t="n">
        <x:f>'Sources'!B16</x:f>
        <x:v>3206</x:v>
      </x:c>
      <x:c r="C9" s="30" t="n">
        <x:f>'Sources'!B17</x:f>
        <x:v>2780</x:v>
      </x:c>
      <x:c r="D9" s="30" t="n">
        <x:f>'Sources'!B18</x:f>
        <x:v>3186</x:v>
      </x:c>
      <x:c r="E9" s="31" t="n">
        <x:f>'Sources'!B19</x:f>
        <x:v>0.5892361753282782</x:v>
      </x:c>
      <x:c r="F9" s="30" t="n">
        <x:f>'Sources'!B20</x:f>
        <x:v>2714</x:v>
      </x:c>
      <x:c r="G9" s="31" t="n">
        <x:f>'Sources'!B21</x:f>
        <x:v>0.5483936148716912</x:v>
      </x:c>
    </x:row>
    <x:row r="10" ht="30" customHeight="1">
      <x:c r="A10" s="29" t="str">
        <x:v>Operating expense／營業費用</x:v>
      </x:c>
      <x:c r="B10" s="30" t="str">
        <x:f>'Sources'!B22</x:f>
        <x:v>無法計算／待確認</x:v>
      </x:c>
      <x:c r="C10" s="30" t="str">
        <x:f>'Sources'!B23</x:f>
        <x:v>無法計算／待確認</x:v>
      </x:c>
      <x:c r="D10" s="30" t="str">
        <x:f>'Sources'!B24</x:f>
        <x:v>無法計算／待確認</x:v>
      </x:c>
      <x:c r="E10" s="31" t="str">
        <x:f>'Sources'!B25</x:f>
        <x:v>無法計算／待確認</x:v>
      </x:c>
      <x:c r="F10" s="30" t="str">
        <x:f>'Sources'!B26</x:f>
        <x:v>無法計算／待確認</x:v>
      </x:c>
      <x:c r="G10" s="31" t="str">
        <x:f>'Sources'!B27</x:f>
        <x:v>無法計算／待確認</x:v>
      </x:c>
    </x:row>
    <x:row r="11" ht="30" customHeight="1">
      <x:c r="A11" s="29" t="str">
        <x:v>Operating income／營業利益</x:v>
      </x:c>
      <x:c r="B11" s="30" t="n">
        <x:f>'Sources'!B28</x:f>
        <x:v>1312.1</x:v>
      </x:c>
      <x:c r="C11" s="30" t="n">
        <x:f>'Sources'!B29</x:f>
        <x:v>708</x:v>
      </x:c>
      <x:c r="D11" s="30" t="n">
        <x:f>'Sources'!B30</x:f>
        <x:v>1268</x:v>
      </x:c>
      <x:c r="E11" s="31" t="n">
        <x:f>'Sources'!B31</x:f>
        <x:v>0.23451081930830406</x:v>
      </x:c>
      <x:c r="F11" s="30" t="n">
        <x:f>'Sources'!B32</x:f>
        <x:v>849</x:v>
      </x:c>
      <x:c r="G11" s="31" t="n">
        <x:f>'Sources'!B33</x:f>
        <x:v>0.17154980804202868</x:v>
      </x:c>
    </x:row>
    <x:row r="12" ht="30" customHeight="1">
      <x:c r="A12" s="29" t="str">
        <x:v>Interest expense／利息費用</x:v>
      </x:c>
      <x:c r="B12" s="30" t="str">
        <x:f>'Sources'!B34</x:f>
        <x:v>無法計算／待確認</x:v>
      </x:c>
      <x:c r="C12" s="30" t="str">
        <x:f>'Sources'!B35</x:f>
        <x:v>無法計算／待確認</x:v>
      </x:c>
      <x:c r="D12" s="30" t="str">
        <x:f>'Sources'!B36</x:f>
        <x:v>無法計算／待確認</x:v>
      </x:c>
      <x:c r="E12" s="31" t="str">
        <x:f>'Sources'!B37</x:f>
        <x:v>無法計算／待確認</x:v>
      </x:c>
      <x:c r="F12" s="30" t="str">
        <x:f>'Sources'!B38</x:f>
        <x:v>無法計算／待確認</x:v>
      </x:c>
      <x:c r="G12" s="31" t="str">
        <x:f>'Sources'!B39</x:f>
        <x:v>無法計算／待確認</x:v>
      </x:c>
    </x:row>
    <x:row r="13" ht="30" customHeight="1">
      <x:c r="A13" s="29" t="str">
        <x:v>Income before taxes／稅前利益</x:v>
      </x:c>
      <x:c r="B13" s="30" t="n">
        <x:f>'Sources'!B40</x:f>
        <x:v>1217.1</x:v>
      </x:c>
      <x:c r="C13" s="30" t="n">
        <x:f>'Sources'!B41</x:f>
        <x:v>401</x:v>
      </x:c>
      <x:c r="D13" s="30" t="n">
        <x:f>'Sources'!B42</x:f>
        <x:v>959</x:v>
      </x:c>
      <x:c r="E13" s="31" t="n">
        <x:f>'Sources'!B43</x:f>
        <x:v>0.17736267800998706</x:v>
      </x:c>
      <x:c r="F13" s="30" t="n">
        <x:f>'Sources'!B44</x:f>
        <x:v>150</x:v>
      </x:c>
      <x:c r="G13" s="31" t="n">
        <x:f>'Sources'!B45</x:f>
        <x:v>0.030309153364316024</x:v>
      </x:c>
    </x:row>
    <x:row r="14" ht="30" customHeight="1">
      <x:c r="A14" s="29" t="str">
        <x:v>Income tax expense／所得稅費用／利益</x:v>
      </x:c>
      <x:c r="B14" s="30" t="n">
        <x:f>'Sources'!B46</x:f>
        <x:v>273.6</x:v>
      </x:c>
      <x:c r="C14" s="30" t="n">
        <x:f>'Sources'!B47</x:f>
        <x:v>131</x:v>
      </x:c>
      <x:c r="D14" s="30" t="n">
        <x:f>'Sources'!B48</x:f>
        <x:v>276</x:v>
      </x:c>
      <x:c r="E14" s="31" t="n">
        <x:f>'Sources'!B49</x:f>
        <x:v>0.05104494174218605</x:v>
      </x:c>
      <x:c r="F14" s="30" t="n">
        <x:f>'Sources'!B50</x:f>
        <x:v>67</x:v>
      </x:c>
      <x:c r="G14" s="31" t="n">
        <x:f>'Sources'!B51</x:f>
        <x:v>0.013538088502727823</x:v>
      </x:c>
    </x:row>
    <x:row r="15" ht="30" customHeight="1">
      <x:c r="A15" s="29" t="str">
        <x:v>Net income／稅後淨利</x:v>
      </x:c>
      <x:c r="B15" s="30" t="n">
        <x:f>'Sources'!B52</x:f>
        <x:v>943.5</x:v>
      </x:c>
      <x:c r="C15" s="30" t="n">
        <x:f>'Sources'!B53</x:f>
        <x:v>270</x:v>
      </x:c>
      <x:c r="D15" s="30" t="n">
        <x:f>'Sources'!B54</x:f>
        <x:v>683</x:v>
      </x:c>
      <x:c r="E15" s="31" t="n">
        <x:f>'Sources'!B55</x:f>
        <x:v>0.126317736267801</x:v>
      </x:c>
      <x:c r="F15" s="30" t="n">
        <x:f>'Sources'!B56</x:f>
        <x:v>83</x:v>
      </x:c>
      <x:c r="G15" s="31" t="n">
        <x:f>'Sources'!B57</x:f>
        <x:v>0.0167710648615882</x:v>
      </x:c>
    </x:row>
    <x:row r="16">
      <x:c r="A16" s="26"/>
      <x:c r="B16" s="26"/>
      <x:c r="C16" s="26"/>
      <x:c r="D16" s="26"/>
      <x:c r="E16" s="26"/>
      <x:c r="F16" s="26"/>
      <x:c r="G16" s="26"/>
    </x:row>
    <x:row r="17">
      <x:c r="A17" s="26"/>
      <x:c r="B17" s="26"/>
      <x:c r="C17" s="26"/>
      <x:c r="D17" s="26"/>
      <x:c r="E17" s="26"/>
      <x:c r="F17" s="26"/>
      <x:c r="G17" s="26"/>
    </x:row>
    <x:row r="18">
      <x:c r="A18" s="27" t="str">
        <x:v>Annual Cash Flows</x:v>
      </x:c>
      <x:c r="B18" s="26"/>
      <x:c r="C18" s="26"/>
      <x:c r="D18" s="26"/>
      <x:c r="E18" s="26"/>
      <x:c r="F18" s="26"/>
      <x:c r="G18" s="26"/>
    </x:row>
    <x:row r="19" ht="36" customHeight="1">
      <x:c r="A19" s="28" t="str">
        <x:v>科目</x:v>
      </x:c>
      <x:c r="B19" s="28" t="str">
        <x:v>2022-01-01～2022-12-31</x:v>
      </x:c>
      <x:c r="C19" s="28" t="str">
        <x:v>2023-01-01～2023-12-31</x:v>
      </x:c>
      <x:c r="D19" s="28" t="str">
        <x:v>2024-01-01～2024-12-31</x:v>
      </x:c>
      <x:c r="E19" s="28" t="str">
        <x:v>2025-01-01～2025-12-31</x:v>
      </x:c>
      <x:c r="F19" s="26"/>
      <x:c r="G19" s="26"/>
    </x:row>
    <x:row r="20" ht="30" customHeight="1">
      <x:c r="A20" s="29" t="str">
        <x:v>Beginning balance／期初現金</x:v>
      </x:c>
      <x:c r="B20" s="30" t="str">
        <x:f>'Sources'!B58</x:f>
        <x:v>無法計算／待確認</x:v>
      </x:c>
      <x:c r="C20" s="30" t="str">
        <x:f>'Sources'!B59</x:f>
        <x:v>無法計算／待確認</x:v>
      </x:c>
      <x:c r="D20" s="30" t="str">
        <x:f>'Sources'!B60</x:f>
        <x:v>無法計算／待確認</x:v>
      </x:c>
      <x:c r="E20" s="30" t="str">
        <x:f>'Sources'!B61</x:f>
        <x:v>無法計算／待確認</x:v>
      </x:c>
      <x:c r="F20" s="26"/>
      <x:c r="G20" s="26"/>
    </x:row>
    <x:row r="21" ht="30" customHeight="1">
      <x:c r="A21" s="29" t="str">
        <x:v>Operating activities／營業活動現金流</x:v>
      </x:c>
      <x:c r="B21" s="30" t="str">
        <x:f>'Sources'!B62</x:f>
        <x:v>無法計算／待確認</x:v>
      </x:c>
      <x:c r="C21" s="30" t="str">
        <x:f>'Sources'!B63</x:f>
        <x:v>無法計算／待確認</x:v>
      </x:c>
      <x:c r="D21" s="30" t="str">
        <x:f>'Sources'!B64</x:f>
        <x:v>無法計算／待確認</x:v>
      </x:c>
      <x:c r="E21" s="30" t="str">
        <x:f>'Sources'!B65</x:f>
        <x:v>無法計算／待確認</x:v>
      </x:c>
      <x:c r="F21" s="26"/>
      <x:c r="G21" s="26"/>
    </x:row>
    <x:row r="22" ht="30" customHeight="1">
      <x:c r="A22" s="29" t="str">
        <x:v>Investing activities／投資活動現金流</x:v>
      </x:c>
      <x:c r="B22" s="30" t="str">
        <x:f>'Sources'!B66</x:f>
        <x:v>無法計算／待確認</x:v>
      </x:c>
      <x:c r="C22" s="30" t="str">
        <x:f>'Sources'!B67</x:f>
        <x:v>無法計算／待確認</x:v>
      </x:c>
      <x:c r="D22" s="30" t="str">
        <x:f>'Sources'!B68</x:f>
        <x:v>無法計算／待確認</x:v>
      </x:c>
      <x:c r="E22" s="30" t="str">
        <x:f>'Sources'!B69</x:f>
        <x:v>無法計算／待確認</x:v>
      </x:c>
      <x:c r="F22" s="26"/>
      <x:c r="G22" s="26"/>
    </x:row>
    <x:row r="23" ht="30" customHeight="1">
      <x:c r="A23" s="29" t="str">
        <x:v>Financing activities／籌資活動現金流</x:v>
      </x:c>
      <x:c r="B23" s="30" t="str">
        <x:f>'Sources'!B70</x:f>
        <x:v>無法計算／待確認</x:v>
      </x:c>
      <x:c r="C23" s="30" t="str">
        <x:f>'Sources'!B71</x:f>
        <x:v>無法計算／待確認</x:v>
      </x:c>
      <x:c r="D23" s="30" t="str">
        <x:f>'Sources'!B72</x:f>
        <x:v>無法計算／待確認</x:v>
      </x:c>
      <x:c r="E23" s="30" t="str">
        <x:f>'Sources'!B73</x:f>
        <x:v>無法計算／待確認</x:v>
      </x:c>
      <x:c r="F23" s="26"/>
      <x:c r="G23" s="26"/>
    </x:row>
    <x:row r="24" ht="30" customHeight="1">
      <x:c r="A24" s="29" t="str">
        <x:v>Ending balance／期末現金</x:v>
      </x:c>
      <x:c r="B24" s="30" t="str">
        <x:f>'Sources'!B74</x:f>
        <x:v>無法計算／待確認</x:v>
      </x:c>
      <x:c r="C24" s="30" t="str">
        <x:f>'Sources'!B75</x:f>
        <x:v>無法計算／待確認</x:v>
      </x:c>
      <x:c r="D24" s="30" t="str">
        <x:f>'Sources'!B76</x:f>
        <x:v>無法計算／待確認</x:v>
      </x:c>
      <x:c r="E24" s="30" t="str">
        <x:f>'Sources'!B77</x:f>
        <x:v>無法計算／待確認</x:v>
      </x:c>
      <x:c r="F24" s="26"/>
      <x:c r="G24" s="26"/>
    </x:row>
    <x:row r="25" ht="30" customHeight="1">
      <x:c r="A25" s="29" t="str">
        <x:v>Change／現金變動</x:v>
      </x:c>
      <x:c r="B25" s="30" t="str">
        <x:f>'Sources'!B78</x:f>
        <x:v>無法計算／待確認</x:v>
      </x:c>
      <x:c r="C25" s="30" t="str">
        <x:f>'Sources'!B79</x:f>
        <x:v>無法計算／待確認</x:v>
      </x:c>
      <x:c r="D25" s="30" t="str">
        <x:f>'Sources'!B80</x:f>
        <x:v>無法計算／待確認</x:v>
      </x:c>
      <x:c r="E25" s="30" t="str">
        <x:f>'Sources'!B81</x:f>
        <x:v>無法計算／待確認</x:v>
      </x:c>
      <x:c r="F25" s="26"/>
      <x:c r="G25" s="26"/>
    </x:row>
    <x:row r="26">
      <x:c r="A26" s="26"/>
      <x:c r="B26" s="26"/>
      <x:c r="C26" s="26"/>
      <x:c r="D26" s="26"/>
      <x:c r="E26" s="26"/>
      <x:c r="F26" s="26"/>
      <x:c r="G26" s="26"/>
    </x:row>
    <x:row r="27">
      <x:c r="A27" s="26"/>
      <x:c r="B27" s="26"/>
      <x:c r="C27" s="26"/>
      <x:c r="D27" s="26"/>
      <x:c r="E27" s="26"/>
      <x:c r="F27" s="26"/>
      <x:c r="G27" s="26"/>
    </x:row>
    <x:row r="28">
      <x:c r="A28" s="27" t="str">
        <x:v>Ratios YOY</x:v>
      </x:c>
      <x:c r="B28" s="26"/>
      <x:c r="C28" s="26"/>
      <x:c r="D28" s="26"/>
      <x:c r="E28" s="26"/>
      <x:c r="F28" s="26"/>
      <x:c r="G28" s="26"/>
    </x:row>
    <x:row r="29" ht="36" customHeight="1">
      <x:c r="A29" s="28" t="str">
        <x:v>科目</x:v>
      </x:c>
      <x:c r="B29" s="28" t="str">
        <x:v>2022-01-01～2022-12-31</x:v>
      </x:c>
      <x:c r="C29" s="28" t="str">
        <x:v>2023-01-01～2023-12-31</x:v>
      </x:c>
      <x:c r="D29" s="28" t="str">
        <x:v>2024-01-01～2024-12-31</x:v>
      </x:c>
      <x:c r="E29" s="28" t="str">
        <x:v>2025-01-01～2025-12-31</x:v>
      </x:c>
      <x:c r="F29" s="26"/>
      <x:c r="G29" s="26"/>
    </x:row>
    <x:row r="30" ht="30" customHeight="1">
      <x:c r="A30" s="29" t="str">
        <x:v>Current ratio／流動比率</x:v>
      </x:c>
      <x:c r="B30" s="31" t="n">
        <x:f>'Sources'!B82</x:f>
        <x:v>1.8075459023734886</x:v>
      </x:c>
      <x:c r="C30" s="31" t="n">
        <x:f>'Sources'!B83</x:f>
        <x:v>1.5254942767950053</x:v>
      </x:c>
      <x:c r="D30" s="31" t="n">
        <x:f>'Sources'!B84</x:f>
        <x:v>1.656449553001277</x:v>
      </x:c>
      <x:c r="E30" s="31" t="n">
        <x:f>'Sources'!B85</x:f>
        <x:v>2.071729957805907</x:v>
      </x:c>
      <x:c r="F30" s="26"/>
      <x:c r="G30" s="26"/>
    </x:row>
    <x:row r="31" ht="30" customHeight="1">
      <x:c r="A31" s="29" t="str">
        <x:v>Quick ratio／速動比率</x:v>
      </x:c>
      <x:c r="B31" s="31" t="str">
        <x:f>'Sources'!B86</x:f>
        <x:v>無法計算／待確認</x:v>
      </x:c>
      <x:c r="C31" s="31" t="str">
        <x:f>'Sources'!B87</x:f>
        <x:v>無法計算／待確認</x:v>
      </x:c>
      <x:c r="D31" s="31" t="str">
        <x:f>'Sources'!B88</x:f>
        <x:v>無法計算／待確認</x:v>
      </x:c>
      <x:c r="E31" s="31" t="str">
        <x:f>'Sources'!B89</x:f>
        <x:v>無法計算／待確認</x:v>
      </x:c>
      <x:c r="F31" s="26"/>
      <x:c r="G31" s="26"/>
    </x:row>
    <x:row r="32" ht="30" customHeight="1">
      <x:c r="A32" s="29" t="str">
        <x:v>Cash flow ratio／現金流量比率</x:v>
      </x:c>
      <x:c r="B32" s="31" t="str">
        <x:f>'Sources'!B90</x:f>
        <x:v>無法計算／待確認</x:v>
      </x:c>
      <x:c r="C32" s="31" t="str">
        <x:f>'Sources'!B91</x:f>
        <x:v>無法計算／待確認</x:v>
      </x:c>
      <x:c r="D32" s="31" t="str">
        <x:f>'Sources'!B92</x:f>
        <x:v>無法計算／待確認</x:v>
      </x:c>
      <x:c r="E32" s="31" t="str">
        <x:f>'Sources'!B93</x:f>
        <x:v>無法計算／待確認</x:v>
      </x:c>
      <x:c r="F32" s="26"/>
      <x:c r="G32" s="26"/>
    </x:row>
    <x:row r="33" ht="30" customHeight="1">
      <x:c r="A33" s="29" t="str">
        <x:v>Debt ratio／負債比率</x:v>
      </x:c>
      <x:c r="B33" s="31" t="str">
        <x:f>'Sources'!B94</x:f>
        <x:v>無法計算／待確認</x:v>
      </x:c>
      <x:c r="C33" s="31" t="str">
        <x:f>'Sources'!B95</x:f>
        <x:v>無法計算／待確認</x:v>
      </x:c>
      <x:c r="D33" s="31" t="str">
        <x:f>'Sources'!B96</x:f>
        <x:v>無法計算／待確認</x:v>
      </x:c>
      <x:c r="E33" s="31" t="str">
        <x:f>'Sources'!B97</x:f>
        <x:v>無法計算／待確認</x:v>
      </x:c>
      <x:c r="F33" s="26"/>
      <x:c r="G33" s="26"/>
    </x:row>
    <x:row r="34" ht="30" customHeight="1">
      <x:c r="A34" s="29" t="str">
        <x:v>Interest coverage ratio／利息保障倍數</x:v>
      </x:c>
      <x:c r="B34" s="32" t="str">
        <x:f>'Sources'!B98</x:f>
        <x:v>無法計算／待確認</x:v>
      </x:c>
      <x:c r="C34" s="32" t="str">
        <x:f>'Sources'!B99</x:f>
        <x:v>無法計算／待確認</x:v>
      </x:c>
      <x:c r="D34" s="32" t="str">
        <x:f>'Sources'!B100</x:f>
        <x:v>無法計算／待確認</x:v>
      </x:c>
      <x:c r="E34" s="32" t="str">
        <x:f>'Sources'!B101</x:f>
        <x:v>無法計算／待確認</x:v>
      </x:c>
      <x:c r="F34" s="26"/>
      <x:c r="G34" s="26"/>
    </x:row>
    <x:row r="35">
      <x:c r="A35" s="26"/>
      <x:c r="B35" s="26"/>
      <x:c r="C35" s="26"/>
      <x:c r="D35" s="26"/>
      <x:c r="E35" s="26"/>
      <x:c r="F35" s="26"/>
      <x:c r="G35" s="26"/>
    </x:row>
    <x:row r="36">
      <x:c r="A36" s="26"/>
      <x:c r="B36" s="26"/>
      <x:c r="C36" s="26"/>
      <x:c r="D36" s="26"/>
      <x:c r="E36" s="26"/>
      <x:c r="F36" s="26"/>
      <x:c r="G36" s="26"/>
    </x:row>
    <x:row r="37">
      <x:c r="A37" s="27" t="str">
        <x:v>Leverage YOY</x:v>
      </x:c>
      <x:c r="B37" s="26"/>
      <x:c r="C37" s="26"/>
      <x:c r="D37" s="26"/>
      <x:c r="E37" s="26"/>
      <x:c r="F37" s="26"/>
      <x:c r="G37" s="26"/>
    </x:row>
    <x:row r="38" ht="36" customHeight="1">
      <x:c r="A38" s="28" t="str">
        <x:v>科目</x:v>
      </x:c>
      <x:c r="B38" s="28" t="str">
        <x:v>2022-01-01～2022-12-31</x:v>
      </x:c>
      <x:c r="C38" s="28" t="str">
        <x:v>2023-01-01～2023-12-31</x:v>
      </x:c>
      <x:c r="D38" s="28" t="str">
        <x:v>2024-01-01～2024-12-31</x:v>
      </x:c>
      <x:c r="E38" s="28" t="str">
        <x:v>2025-01-01～2025-12-31</x:v>
      </x:c>
      <x:c r="F38" s="26"/>
      <x:c r="G38" s="26"/>
    </x:row>
    <x:row r="39" ht="30" customHeight="1">
      <x:c r="A39" s="29" t="str">
        <x:v>Total debt／總債務</x:v>
      </x:c>
      <x:c r="B39" s="30" t="str">
        <x:f>'Sources'!B102</x:f>
        <x:v>缺少資料</x:v>
      </x:c>
      <x:c r="C39" s="30" t="str">
        <x:f>'Sources'!B103</x:f>
        <x:v>缺少資料</x:v>
      </x:c>
      <x:c r="D39" s="30" t="str">
        <x:f>'Sources'!B104</x:f>
        <x:v>缺少資料</x:v>
      </x:c>
      <x:c r="E39" s="30" t="str">
        <x:f>'Sources'!B105</x:f>
        <x:v>缺少資料</x:v>
      </x:c>
      <x:c r="F39" s="26"/>
      <x:c r="G39" s="26"/>
    </x:row>
    <x:row r="40" ht="30" customHeight="1">
      <x:c r="A40" s="29" t="str">
        <x:v>Debt service／債務清償額</x:v>
      </x:c>
      <x:c r="B40" s="30" t="str">
        <x:f>'Sources'!B106</x:f>
        <x:v>缺少資料</x:v>
      </x:c>
      <x:c r="C40" s="30" t="str">
        <x:f>'Sources'!B107</x:f>
        <x:v>缺少資料</x:v>
      </x:c>
      <x:c r="D40" s="30" t="str">
        <x:f>'Sources'!B108</x:f>
        <x:v>缺少資料</x:v>
      </x:c>
      <x:c r="E40" s="30" t="str">
        <x:f>'Sources'!B109</x:f>
        <x:v>缺少資料</x:v>
      </x:c>
      <x:c r="F40" s="26"/>
      <x:c r="G40" s="26"/>
    </x:row>
    <x:row r="41" ht="30" customHeight="1">
      <x:c r="A41" s="29" t="str">
        <x:v>Interest expense／利息費用</x:v>
      </x:c>
      <x:c r="B41" s="30" t="str">
        <x:f>'Sources'!B34</x:f>
        <x:v>無法計算／待確認</x:v>
      </x:c>
      <x:c r="C41" s="30" t="str">
        <x:f>'Sources'!B35</x:f>
        <x:v>無法計算／待確認</x:v>
      </x:c>
      <x:c r="D41" s="30" t="str">
        <x:f>'Sources'!B36</x:f>
        <x:v>無法計算／待確認</x:v>
      </x:c>
      <x:c r="E41" s="30" t="str">
        <x:f>'Sources'!B38</x:f>
        <x:v>無法計算／待確認</x:v>
      </x:c>
      <x:c r="F41" s="26"/>
      <x:c r="G41" s="26"/>
    </x:row>
    <x:row r="42" ht="30" customHeight="1">
      <x:c r="A42" s="29" t="str">
        <x:v>LTM EBITDA／最近完整年度 EBITDA</x:v>
      </x:c>
      <x:c r="B42" s="30" t="str">
        <x:f>'Sources'!B110</x:f>
        <x:v>無法計算／待確認</x:v>
      </x:c>
      <x:c r="C42" s="30" t="str">
        <x:f>'Sources'!B111</x:f>
        <x:v>無法計算／待確認</x:v>
      </x:c>
      <x:c r="D42" s="30" t="str">
        <x:f>'Sources'!B112</x:f>
        <x:v>無法計算／待確認</x:v>
      </x:c>
      <x:c r="E42" s="30" t="str">
        <x:f>'Sources'!B113</x:f>
        <x:v>無法計算／待確認</x:v>
      </x:c>
      <x:c r="F42" s="26"/>
      <x:c r="G42" s="26"/>
    </x:row>
    <x:row r="43" ht="80" customHeight="1">
      <x:c r="A43" s="29" t="str">
        <x:v>EBITDA basis／EBITDA 計算口徑</x:v>
      </x:c>
      <x:c r="B43" s="30" t="str">
        <x:f>'Sources'!B114</x:f>
        <x:v>缺少資料</x:v>
      </x:c>
      <x:c r="C43" s="30" t="str">
        <x:f>'Sources'!B115</x:f>
        <x:v>缺少資料</x:v>
      </x:c>
      <x:c r="D43" s="30" t="str">
        <x:f>'Sources'!B116</x:f>
        <x:v>缺少資料</x:v>
      </x:c>
      <x:c r="E43" s="30" t="str">
        <x:f>'Sources'!B117</x:f>
        <x:v>缺少資料</x:v>
      </x:c>
      <x:c r="F43" s="26"/>
      <x:c r="G43" s="26"/>
    </x:row>
    <x:row r="44" ht="30" customHeight="1">
      <x:c r="A44" s="29" t="str">
        <x:v>Total leverage ratio／總槓桿倍數</x:v>
      </x:c>
      <x:c r="B44" s="32" t="str">
        <x:f>'Sources'!B118</x:f>
        <x:v>無法計算／待確認</x:v>
      </x:c>
      <x:c r="C44" s="32" t="str">
        <x:f>'Sources'!B119</x:f>
        <x:v>無法計算／待確認</x:v>
      </x:c>
      <x:c r="D44" s="32" t="str">
        <x:f>'Sources'!B120</x:f>
        <x:v>無法計算／待確認</x:v>
      </x:c>
      <x:c r="E44" s="32" t="str">
        <x:f>'Sources'!B121</x:f>
        <x:v>無法計算／待確認</x:v>
      </x:c>
      <x:c r="F44" s="26"/>
      <x:c r="G44" s="26"/>
    </x:row>
    <x:row r="45" ht="30" customHeight="1">
      <x:c r="A45" s="29" t="str">
        <x:v>EBITDA / Interest expense／EBITDA／利息</x:v>
      </x:c>
      <x:c r="B45" s="32" t="str">
        <x:f>'Sources'!B122</x:f>
        <x:v>無法計算／待確認</x:v>
      </x:c>
      <x:c r="C45" s="32" t="str">
        <x:f>'Sources'!B123</x:f>
        <x:v>無法計算／待確認</x:v>
      </x:c>
      <x:c r="D45" s="32" t="str">
        <x:f>'Sources'!B124</x:f>
        <x:v>無法計算／待確認</x:v>
      </x:c>
      <x:c r="E45" s="32" t="str">
        <x:f>'Sources'!B125</x:f>
        <x:v>無法計算／待確認</x:v>
      </x:c>
      <x:c r="F45" s="26"/>
      <x:c r="G45" s="26"/>
    </x:row>
    <x:row r="46" ht="30" customHeight="1">
      <x:c r="A46" s="29" t="str">
        <x:v>Debt service coverage ratio／償債保障倍數</x:v>
      </x:c>
      <x:c r="B46" s="32" t="str">
        <x:f>'Sources'!B126</x:f>
        <x:v>缺少資料</x:v>
      </x:c>
      <x:c r="C46" s="32" t="str">
        <x:f>'Sources'!B127</x:f>
        <x:v>缺少資料</x:v>
      </x:c>
      <x:c r="D46" s="32" t="str">
        <x:f>'Sources'!B128</x:f>
        <x:v>缺少資料</x:v>
      </x:c>
      <x:c r="E46" s="32" t="str">
        <x:f>'Sources'!B129</x:f>
        <x:v>缺少資料</x:v>
      </x:c>
      <x:c r="F46" s="26"/>
      <x:c r="G46" s="26"/>
    </x:row>
    <x:row r="47">
      <x:c r="A47" s="26"/>
      <x:c r="B47" s="26"/>
      <x:c r="C47" s="26"/>
      <x:c r="D47" s="26"/>
      <x:c r="E47" s="26"/>
      <x:c r="F47" s="26"/>
      <x:c r="G47" s="26"/>
    </x:row>
    <x:row r="48">
      <x:c r="A48" s="26"/>
      <x:c r="B48" s="26"/>
      <x:c r="C48" s="26"/>
      <x:c r="D48" s="26"/>
      <x:c r="E48" s="26"/>
      <x:c r="F48" s="26"/>
      <x:c r="G48" s="26"/>
    </x:row>
    <x:row r="49">
      <x:c r="A49" s="26"/>
      <x:c r="B49" s="26"/>
      <x:c r="C49" s="26"/>
      <x:c r="D49" s="26"/>
      <x:c r="E49" s="26"/>
      <x:c r="F49" s="26"/>
      <x:c r="G49" s="26"/>
    </x:row>
  </x:sheetData>
  <x:mergeCells>
    <x:mergeCell ref="A1:G1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24" hidden="0" customWidth="1"/>
    <x:col min="4" max="4" width="16" hidden="0" customWidth="1"/>
    <x:col min="5" max="5" width="28" hidden="0" customWidth="1"/>
    <x:col min="6" max="6" width="65" hidden="0" customWidth="1"/>
    <x:col min="7" max="7" width="75" hidden="0" customWidth="1"/>
  </x:cols>
  <x:sheetData>
    <x:row r="1">
      <x:c r="A1" s="17" t="str">
        <x:v>NEXSTAR MEDIA GROUP, INC. · 原始數值與計算來源</x:v>
      </x:c>
      <x:c r="B1" s="17"/>
      <x:c r="C1" s="17"/>
      <x:c r="D1" s="17"/>
      <x:c r="E1" s="17"/>
      <x:c r="F1" s="17"/>
      <x:c r="G1" s="17"/>
    </x:row>
    <x:row r="2">
      <x:c r="A2" s="17" t="str">
        <x:v>報表單位：USD / 1000000；C、D 欄保留來源原值與原始 scale</x:v>
      </x:c>
      <x:c r="B2" s="17"/>
      <x:c r="C2" s="17"/>
      <x:c r="D2" s="17"/>
      <x:c r="E2" s="17"/>
      <x:c r="F2" s="17"/>
      <x:c r="G2" s="17"/>
    </x:row>
    <x:row r="3" ht="32" customHeight="1">
      <x:c r="A3" s="28" t="str">
        <x:v>科目／期間</x:v>
      </x:c>
      <x:c r="B3" s="28" t="str">
        <x:v>報表值</x:v>
      </x:c>
      <x:c r="C3" s="28" t="str">
        <x:v>原始值</x:v>
      </x:c>
      <x:c r="D3" s="28" t="str">
        <x:v>原始 scale</x:v>
      </x:c>
      <x:c r="E3" s="28" t="str">
        <x:v>狀態</x:v>
      </x:c>
      <x:c r="F3" s="28" t="str">
        <x:v>定義／限制</x:v>
      </x:c>
      <x:c r="G3" s="28" t="str">
        <x:v>來源位置／證據</x:v>
      </x:c>
    </x:row>
    <x:row r="4" ht="30" customHeight="1">
      <x:c r="A4" s="26" t="str">
        <x:v>revenue:fy_t_minus_3</x:v>
      </x:c>
      <x:c r="B4" s="38" t="n">
        <x:f>IF(AND(ISNUMBER(C4),ISNUMBER(D4)),C4*D4/1000000,"缺少資料")</x:f>
        <x:v>5211</x:v>
      </x:c>
      <x:c r="C4" s="39" t="n">
        <x:v>5211000</x:v>
      </x:c>
      <x:c r="D4" s="39" t="n">
        <x:v>1000</x:v>
      </x:c>
      <x:c r="E4" s="26" t="str">
        <x:v>sourced</x:v>
      </x:c>
      <x:c r="F4" s="29" t="str">
        <x:v>Revenues</x:v>
      </x:c>
      <x:c r="G4" s="29" t="str">
        <x:v>/Users/yuntzuyu/Downloads/e-loan/Year/E-loan YYYY_Nexstar 2025.xls#Report1!D80; label=A80; dates=D6,D76; unit=O4</x:v>
      </x:c>
    </x:row>
    <x:row r="5" ht="30" customHeight="1">
      <x:c r="A5" s="26" t="str">
        <x:v>revenue:fy_t_minus_2</x:v>
      </x:c>
      <x:c r="B5" s="38" t="n">
        <x:f>IF(AND(ISNUMBER(C5),ISNUMBER(D5)),C5*D5/1000000,"缺少資料")</x:f>
        <x:v>4933</x:v>
      </x:c>
      <x:c r="C5" s="39" t="n">
        <x:v>4933000</x:v>
      </x:c>
      <x:c r="D5" s="39" t="n">
        <x:v>1000</x:v>
      </x:c>
      <x:c r="E5" s="26" t="str">
        <x:v>sourced</x:v>
      </x:c>
      <x:c r="F5" s="29" t="str">
        <x:v>Revenues</x:v>
      </x:c>
      <x:c r="G5" s="29" t="str">
        <x:v>/Users/yuntzuyu/Downloads/e-loan/Year/E-loan YYYY_Nexstar 2025.xls#Report1!I80; label=A80; dates=I6,I76; unit=O4</x:v>
      </x:c>
    </x:row>
    <x:row r="6" ht="30" customHeight="1">
      <x:c r="A6" s="26" t="str">
        <x:v>revenue:fy_t_minus_1</x:v>
      </x:c>
      <x:c r="B6" s="38" t="n">
        <x:f>IF(AND(ISNUMBER(C6),ISNUMBER(D6)),C6*D6/1000000,"缺少資料")</x:f>
        <x:v>5407</x:v>
      </x:c>
      <x:c r="C6" s="39" t="n">
        <x:v>5407000</x:v>
      </x:c>
      <x:c r="D6" s="39" t="n">
        <x:v>1000</x:v>
      </x:c>
      <x:c r="E6" s="26" t="str">
        <x:v>sourced</x:v>
      </x:c>
      <x:c r="F6" s="29" t="str">
        <x:v>Revenues</x:v>
      </x:c>
      <x:c r="G6" s="29" t="str">
        <x:v>/Users/yuntzuyu/Downloads/e-loan/Year/E-loan YYYY_Nexstar 2025.xls#Report1!M80; label=A80; dates=M6,M76; unit=O4</x:v>
      </x:c>
    </x:row>
    <x:row r="7" ht="30" customHeight="1">
      <x:c r="A7" s="26" t="str">
        <x:v>revenue:pct:fy_t_minus_1</x:v>
      </x:c>
      <x:c r="B7" s="40" t="n">
        <x:f>IF(AND(ISNUMBER(B6),ISNUMBER(B6)),IF(B6=0,"無法計算",B6/B6),"缺少資料")</x:f>
        <x:v>1</x:v>
      </x:c>
      <x:c r="C7" s="39"/>
      <x:c r="D7" s="39"/>
      <x:c r="E7" s="26" t="str">
        <x:v>calculated</x:v>
      </x:c>
      <x:c r="F7" s="29" t="str">
        <x:v>revenue / revenue</x:v>
      </x:c>
      <x:c r="G7" s="29" t="str"/>
    </x:row>
    <x:row r="8" ht="30" customHeight="1">
      <x:c r="A8" s="26" t="str">
        <x:v>revenue:fy_t</x:v>
      </x:c>
      <x:c r="B8" s="38" t="n">
        <x:f>IF(AND(ISNUMBER(C8),ISNUMBER(D8)),C8*D8/1000000,"缺少資料")</x:f>
        <x:v>4949</x:v>
      </x:c>
      <x:c r="C8" s="39" t="n">
        <x:v>4949000</x:v>
      </x:c>
      <x:c r="D8" s="39" t="n">
        <x:v>1000</x:v>
      </x:c>
      <x:c r="E8" s="26" t="str">
        <x:v>sourced</x:v>
      </x:c>
      <x:c r="F8" s="29" t="str">
        <x:v>Revenues</x:v>
      </x:c>
      <x:c r="G8" s="29" t="str">
        <x:v>/Users/yuntzuyu/Downloads/e-loan/Year/E-loan YYYY_Nexstar 2025.xls#Report1!R80; label=A80; dates=R6,R76; unit=O4</x:v>
      </x:c>
    </x:row>
    <x:row r="9" ht="30" customHeight="1">
      <x:c r="A9" s="26" t="str">
        <x:v>revenue:pct:fy_t</x:v>
      </x:c>
      <x:c r="B9" s="40" t="n">
        <x:f>IF(AND(ISNUMBER(B8),ISNUMBER(B8)),IF(B8=0,"無法計算",B8/B8),"缺少資料")</x:f>
        <x:v>1</x:v>
      </x:c>
      <x:c r="C9" s="39"/>
      <x:c r="D9" s="39"/>
      <x:c r="E9" s="26" t="str">
        <x:v>calculated</x:v>
      </x:c>
      <x:c r="F9" s="29" t="str">
        <x:v>revenue / revenue</x:v>
      </x:c>
      <x:c r="G9" s="29" t="str"/>
    </x:row>
    <x:row r="10" ht="30" customHeight="1">
      <x:c r="A10" s="26" t="str">
        <x:v>cost_of_revenue:fy_t_minus_3</x:v>
      </x:c>
      <x:c r="B10" s="38" t="n">
        <x:f>IF(AND(ISNUMBER(C10),ISNUMBER(D10)),C10*D10/1000000,"缺少資料")</x:f>
        <x:v>2005</x:v>
      </x:c>
      <x:c r="C10" s="39" t="n">
        <x:v>2005000</x:v>
      </x:c>
      <x:c r="D10" s="39" t="n">
        <x:v>1000</x:v>
      </x:c>
      <x:c r="E10" s="26" t="str">
        <x:v>sourced</x:v>
      </x:c>
      <x:c r="F10" s="29" t="str">
        <x:v>Operating Cost</x:v>
      </x:c>
      <x:c r="G10" s="29" t="str">
        <x:v>/Users/yuntzuyu/Downloads/e-loan/Year/E-loan YYYY_Nexstar 2025.xls#Report1!D86; label=A86; dates=D6,D76; unit=O4</x:v>
      </x:c>
    </x:row>
    <x:row r="11" ht="30" customHeight="1">
      <x:c r="A11" s="26" t="str">
        <x:v>cost_of_revenue:fy_t_minus_2</x:v>
      </x:c>
      <x:c r="B11" s="38" t="n">
        <x:f>IF(AND(ISNUMBER(C11),ISNUMBER(D11)),C11*D11/1000000,"缺少資料")</x:f>
        <x:v>2153</x:v>
      </x:c>
      <x:c r="C11" s="39" t="n">
        <x:v>2153000</x:v>
      </x:c>
      <x:c r="D11" s="39" t="n">
        <x:v>1000</x:v>
      </x:c>
      <x:c r="E11" s="26" t="str">
        <x:v>sourced</x:v>
      </x:c>
      <x:c r="F11" s="29" t="str">
        <x:v>Operating Cost</x:v>
      </x:c>
      <x:c r="G11" s="29" t="str">
        <x:v>/Users/yuntzuyu/Downloads/e-loan/Year/E-loan YYYY_Nexstar 2025.xls#Report1!I86; label=A86; dates=I6,I76; unit=O4</x:v>
      </x:c>
    </x:row>
    <x:row r="12" ht="30" customHeight="1">
      <x:c r="A12" s="26" t="str">
        <x:v>cost_of_revenue:fy_t_minus_1</x:v>
      </x:c>
      <x:c r="B12" s="38" t="n">
        <x:f>IF(AND(ISNUMBER(C12),ISNUMBER(D12)),C12*D12/1000000,"缺少資料")</x:f>
        <x:v>2221</x:v>
      </x:c>
      <x:c r="C12" s="39" t="n">
        <x:v>2221000</x:v>
      </x:c>
      <x:c r="D12" s="39" t="n">
        <x:v>1000</x:v>
      </x:c>
      <x:c r="E12" s="26" t="str">
        <x:v>sourced</x:v>
      </x:c>
      <x:c r="F12" s="29" t="str">
        <x:v>Operating Cost</x:v>
      </x:c>
      <x:c r="G12" s="29" t="str">
        <x:v>/Users/yuntzuyu/Downloads/e-loan/Year/E-loan YYYY_Nexstar 2025.xls#Report1!M86; label=A86; dates=M6,M76; unit=O4</x:v>
      </x:c>
    </x:row>
    <x:row r="13" ht="30" customHeight="1">
      <x:c r="A13" s="26" t="str">
        <x:v>cost_of_revenue:pct:fy_t_minus_1</x:v>
      </x:c>
      <x:c r="B13" s="40" t="n">
        <x:f>IF(AND(ISNUMBER(B12),ISNUMBER(B6)),IF(B6=0,"無法計算",B12/B6),"缺少資料")</x:f>
        <x:v>0.41076382467172184</x:v>
      </x:c>
      <x:c r="C13" s="39"/>
      <x:c r="D13" s="39"/>
      <x:c r="E13" s="26" t="str">
        <x:v>calculated</x:v>
      </x:c>
      <x:c r="F13" s="29" t="str">
        <x:v>cost_of_revenue / revenue</x:v>
      </x:c>
      <x:c r="G13" s="29" t="str"/>
    </x:row>
    <x:row r="14" ht="30" customHeight="1">
      <x:c r="A14" s="26" t="str">
        <x:v>cost_of_revenue:fy_t</x:v>
      </x:c>
      <x:c r="B14" s="38" t="n">
        <x:f>IF(AND(ISNUMBER(C14),ISNUMBER(D14)),C14*D14/1000000,"缺少資料")</x:f>
        <x:v>2235</x:v>
      </x:c>
      <x:c r="C14" s="39" t="n">
        <x:v>2235000</x:v>
      </x:c>
      <x:c r="D14" s="39" t="n">
        <x:v>1000</x:v>
      </x:c>
      <x:c r="E14" s="26" t="str">
        <x:v>sourced</x:v>
      </x:c>
      <x:c r="F14" s="29" t="str">
        <x:v>Operating Cost</x:v>
      </x:c>
      <x:c r="G14" s="29" t="str">
        <x:v>/Users/yuntzuyu/Downloads/e-loan/Year/E-loan YYYY_Nexstar 2025.xls#Report1!R86; label=A86; dates=R6,R76; unit=O4</x:v>
      </x:c>
    </x:row>
    <x:row r="15" ht="30" customHeight="1">
      <x:c r="A15" s="26" t="str">
        <x:v>cost_of_revenue:pct:fy_t</x:v>
      </x:c>
      <x:c r="B15" s="40" t="n">
        <x:f>IF(AND(ISNUMBER(B14),ISNUMBER(B8)),IF(B8=0,"無法計算",B14/B8),"缺少資料")</x:f>
        <x:v>0.45160638512830875</x:v>
      </x:c>
      <x:c r="C15" s="39"/>
      <x:c r="D15" s="39"/>
      <x:c r="E15" s="26" t="str">
        <x:v>calculated</x:v>
      </x:c>
      <x:c r="F15" s="29" t="str">
        <x:v>cost_of_revenue / revenue</x:v>
      </x:c>
      <x:c r="G15" s="29" t="str"/>
    </x:row>
    <x:row r="16" ht="30" customHeight="1">
      <x:c r="A16" s="26" t="str">
        <x:v>gross_profit:fy_t_minus_3</x:v>
      </x:c>
      <x:c r="B16" s="38" t="n">
        <x:f>IF(AND(ISNUMBER(C16),ISNUMBER(D16)),C16*D16/1000000,"缺少資料")</x:f>
        <x:v>3206</x:v>
      </x:c>
      <x:c r="C16" s="39" t="n">
        <x:v>3206000</x:v>
      </x:c>
      <x:c r="D16" s="39" t="n">
        <x:v>1000</x:v>
      </x:c>
      <x:c r="E16" s="26" t="str">
        <x:v>sourced</x:v>
      </x:c>
      <x:c r="F16" s="29" t="str">
        <x:v>Gross Profit</x:v>
      </x:c>
      <x:c r="G16" s="29" t="str">
        <x:v>/Users/yuntzuyu/Downloads/e-loan/Year/E-loan YYYY_Nexstar 2025.xls#Report1!D94; label=A94; dates=D6,D76; unit=O4</x:v>
      </x:c>
    </x:row>
    <x:row r="17" ht="30" customHeight="1">
      <x:c r="A17" s="26" t="str">
        <x:v>gross_profit:fy_t_minus_2</x:v>
      </x:c>
      <x:c r="B17" s="38" t="n">
        <x:f>IF(AND(ISNUMBER(C17),ISNUMBER(D17)),C17*D17/1000000,"缺少資料")</x:f>
        <x:v>2780</x:v>
      </x:c>
      <x:c r="C17" s="39" t="n">
        <x:v>2780000</x:v>
      </x:c>
      <x:c r="D17" s="39" t="n">
        <x:v>1000</x:v>
      </x:c>
      <x:c r="E17" s="26" t="str">
        <x:v>sourced</x:v>
      </x:c>
      <x:c r="F17" s="29" t="str">
        <x:v>Gross Profit</x:v>
      </x:c>
      <x:c r="G17" s="29" t="str">
        <x:v>/Users/yuntzuyu/Downloads/e-loan/Year/E-loan YYYY_Nexstar 2025.xls#Report1!I94; label=A94; dates=I6,I76; unit=O4</x:v>
      </x:c>
    </x:row>
    <x:row r="18" ht="30" customHeight="1">
      <x:c r="A18" s="26" t="str">
        <x:v>gross_profit:fy_t_minus_1</x:v>
      </x:c>
      <x:c r="B18" s="38" t="n">
        <x:f>IF(AND(ISNUMBER(C18),ISNUMBER(D18)),C18*D18/1000000,"缺少資料")</x:f>
        <x:v>3186</x:v>
      </x:c>
      <x:c r="C18" s="39" t="n">
        <x:v>3186000</x:v>
      </x:c>
      <x:c r="D18" s="39" t="n">
        <x:v>1000</x:v>
      </x:c>
      <x:c r="E18" s="26" t="str">
        <x:v>sourced</x:v>
      </x:c>
      <x:c r="F18" s="29" t="str">
        <x:v>Gross Profit</x:v>
      </x:c>
      <x:c r="G18" s="29" t="str">
        <x:v>/Users/yuntzuyu/Downloads/e-loan/Year/E-loan YYYY_Nexstar 2025.xls#Report1!M94; label=A94; dates=M6,M76; unit=O4</x:v>
      </x:c>
    </x:row>
    <x:row r="19" ht="30" customHeight="1">
      <x:c r="A19" s="26" t="str">
        <x:v>gross_profit:pct:fy_t_minus_1</x:v>
      </x:c>
      <x:c r="B19" s="40" t="n">
        <x:f>IF(AND(ISNUMBER(B18),ISNUMBER(B6)),IF(B6=0,"無法計算",B18/B6),"缺少資料")</x:f>
        <x:v>0.5892361753282782</x:v>
      </x:c>
      <x:c r="C19" s="39"/>
      <x:c r="D19" s="39"/>
      <x:c r="E19" s="26" t="str">
        <x:v>calculated</x:v>
      </x:c>
      <x:c r="F19" s="29" t="str">
        <x:v>gross_profit / revenue</x:v>
      </x:c>
      <x:c r="G19" s="29" t="str"/>
    </x:row>
    <x:row r="20" ht="30" customHeight="1">
      <x:c r="A20" s="26" t="str">
        <x:v>gross_profit:fy_t</x:v>
      </x:c>
      <x:c r="B20" s="38" t="n">
        <x:f>IF(AND(ISNUMBER(C20),ISNUMBER(D20)),C20*D20/1000000,"缺少資料")</x:f>
        <x:v>2714</x:v>
      </x:c>
      <x:c r="C20" s="39" t="n">
        <x:v>2714000</x:v>
      </x:c>
      <x:c r="D20" s="39" t="n">
        <x:v>1000</x:v>
      </x:c>
      <x:c r="E20" s="26" t="str">
        <x:v>sourced</x:v>
      </x:c>
      <x:c r="F20" s="29" t="str">
        <x:v>Gross Profit</x:v>
      </x:c>
      <x:c r="G20" s="29" t="str">
        <x:v>/Users/yuntzuyu/Downloads/e-loan/Year/E-loan YYYY_Nexstar 2025.xls#Report1!R94; label=A94; dates=R6,R76; unit=O4</x:v>
      </x:c>
    </x:row>
    <x:row r="21" ht="30" customHeight="1">
      <x:c r="A21" s="26" t="str">
        <x:v>gross_profit:pct:fy_t</x:v>
      </x:c>
      <x:c r="B21" s="40" t="n">
        <x:f>IF(AND(ISNUMBER(B20),ISNUMBER(B8)),IF(B8=0,"無法計算",B20/B8),"缺少資料")</x:f>
        <x:v>0.5483936148716912</x:v>
      </x:c>
      <x:c r="C21" s="39"/>
      <x:c r="D21" s="39"/>
      <x:c r="E21" s="26" t="str">
        <x:v>calculated</x:v>
      </x:c>
      <x:c r="F21" s="29" t="str">
        <x:v>gross_profit / revenue</x:v>
      </x:c>
      <x:c r="G21" s="29" t="str"/>
    </x:row>
    <x:row r="22" ht="30" customHeight="1">
      <x:c r="A22" s="26" t="str">
        <x:v>operating_expense:fy_t_minus_3</x:v>
      </x:c>
      <x:c r="B22" s="38" t="str">
        <x:v>無法計算／待確認</x:v>
      </x:c>
      <x:c r="C22" s="39"/>
      <x:c r="D22" s="39"/>
      <x:c r="E22" s="26" t="str">
        <x:v>無法計算／待確認</x:v>
      </x:c>
      <x:c r="F22" s="29" t="str">
        <x:v>Operating Expense 包含／排除COGS及完整範圍未核實；原值保留於來源清單</x:v>
      </x:c>
      <x:c r="G22" s="29" t="str">
        <x:v>/Users/yuntzuyu/Downloads/e-loan/Year/E-loan YYYY_Nexstar 2025.xls#Report1!D96; label=A96; dates=D6,D76; unit=O4</x:v>
      </x:c>
    </x:row>
    <x:row r="23" ht="30" customHeight="1">
      <x:c r="A23" s="26" t="str">
        <x:v>operating_expense:fy_t_minus_2</x:v>
      </x:c>
      <x:c r="B23" s="38" t="str">
        <x:v>無法計算／待確認</x:v>
      </x:c>
      <x:c r="C23" s="39"/>
      <x:c r="D23" s="39"/>
      <x:c r="E23" s="26" t="str">
        <x:v>無法計算／待確認</x:v>
      </x:c>
      <x:c r="F23" s="29" t="str">
        <x:v>Operating Expense 包含／排除COGS及完整範圍未核實；原值保留於來源清單</x:v>
      </x:c>
      <x:c r="G23" s="29" t="str">
        <x:v>/Users/yuntzuyu/Downloads/e-loan/Year/E-loan YYYY_Nexstar 2025.xls#Report1!I96; label=A96; dates=I6,I76; unit=O4</x:v>
      </x:c>
    </x:row>
    <x:row r="24" ht="30" customHeight="1">
      <x:c r="A24" s="26" t="str">
        <x:v>operating_expense:fy_t_minus_1</x:v>
      </x:c>
      <x:c r="B24" s="38" t="str">
        <x:v>無法計算／待確認</x:v>
      </x:c>
      <x:c r="C24" s="39"/>
      <x:c r="D24" s="39"/>
      <x:c r="E24" s="26" t="str">
        <x:v>無法計算／待確認</x:v>
      </x:c>
      <x:c r="F24" s="29" t="str">
        <x:v>Operating Expense 包含／排除COGS及完整範圍未核實；原值保留於來源清單</x:v>
      </x:c>
      <x:c r="G24" s="29" t="str">
        <x:v>/Users/yuntzuyu/Downloads/e-loan/Year/E-loan YYYY_Nexstar 2025.xls#Report1!M96; label=A96; dates=M6,M76; unit=O4</x:v>
      </x:c>
    </x:row>
    <x:row r="25" ht="30" customHeight="1">
      <x:c r="A25" s="26" t="str">
        <x:v>operating_expense:pct:fy_t_minus_1</x:v>
      </x:c>
      <x:c r="B25" s="40" t="str">
        <x:v>無法計算／待確認</x:v>
      </x:c>
      <x:c r="C25" s="39"/>
      <x:c r="D25" s="39"/>
      <x:c r="E25" s="26" t="str">
        <x:v>無法計算／待確認</x:v>
      </x:c>
      <x:c r="F25" s="29" t="str">
        <x:v>Required inputs unavailable</x:v>
      </x:c>
      <x:c r="G25" s="29" t="str"/>
    </x:row>
    <x:row r="26" ht="30" customHeight="1">
      <x:c r="A26" s="26" t="str">
        <x:v>operating_expense:fy_t</x:v>
      </x:c>
      <x:c r="B26" s="38" t="str">
        <x:v>無法計算／待確認</x:v>
      </x:c>
      <x:c r="C26" s="39"/>
      <x:c r="D26" s="39"/>
      <x:c r="E26" s="26" t="str">
        <x:v>無法計算／待確認</x:v>
      </x:c>
      <x:c r="F26" s="29" t="str">
        <x:v>Operating Expense 包含／排除COGS及完整範圍未核實；原值保留於來源清單</x:v>
      </x:c>
      <x:c r="G26" s="29" t="str">
        <x:v>/Users/yuntzuyu/Downloads/e-loan/Year/E-loan YYYY_Nexstar 2025.xls#Report1!R96; label=A96; dates=R6,R76; unit=O4</x:v>
      </x:c>
    </x:row>
    <x:row r="27" ht="30" customHeight="1">
      <x:c r="A27" s="26" t="str">
        <x:v>operating_expense:pct:fy_t</x:v>
      </x:c>
      <x:c r="B27" s="40" t="str">
        <x:v>無法計算／待確認</x:v>
      </x:c>
      <x:c r="C27" s="39"/>
      <x:c r="D27" s="39"/>
      <x:c r="E27" s="26" t="str">
        <x:v>無法計算／待確認</x:v>
      </x:c>
      <x:c r="F27" s="29" t="str">
        <x:v>Required inputs unavailable</x:v>
      </x:c>
      <x:c r="G27" s="29" t="str"/>
    </x:row>
    <x:row r="28" ht="30" customHeight="1">
      <x:c r="A28" s="26" t="str">
        <x:v>operating_income:fy_t_minus_3</x:v>
      </x:c>
      <x:c r="B28" s="38" t="n">
        <x:f>IF(AND(ISNUMBER(C28),ISNUMBER(D28)),C28*D28/1000000,"缺少資料")</x:f>
        <x:v>1312.1</x:v>
      </x:c>
      <x:c r="C28" s="39" t="n">
        <x:v>1312100</x:v>
      </x:c>
      <x:c r="D28" s="39" t="n">
        <x:v>1000</x:v>
      </x:c>
      <x:c r="E28" s="26" t="str">
        <x:v>sourced</x:v>
      </x:c>
      <x:c r="F28" s="29" t="str">
        <x:v>Operating Profit</x:v>
      </x:c>
      <x:c r="G28" s="29" t="str">
        <x:v>/Users/yuntzuyu/Downloads/e-loan/Year/E-loan YYYY_Nexstar 2025.xls#Report1!D97; label=A97; dates=D6,D76; unit=O4</x:v>
      </x:c>
    </x:row>
    <x:row r="29" ht="30" customHeight="1">
      <x:c r="A29" s="26" t="str">
        <x:v>operating_income:fy_t_minus_2</x:v>
      </x:c>
      <x:c r="B29" s="38" t="n">
        <x:f>IF(AND(ISNUMBER(C29),ISNUMBER(D29)),C29*D29/1000000,"缺少資料")</x:f>
        <x:v>708</x:v>
      </x:c>
      <x:c r="C29" s="39" t="n">
        <x:v>708000</x:v>
      </x:c>
      <x:c r="D29" s="39" t="n">
        <x:v>1000</x:v>
      </x:c>
      <x:c r="E29" s="26" t="str">
        <x:v>sourced</x:v>
      </x:c>
      <x:c r="F29" s="29" t="str">
        <x:v>Operating Profit</x:v>
      </x:c>
      <x:c r="G29" s="29" t="str">
        <x:v>/Users/yuntzuyu/Downloads/e-loan/Year/E-loan YYYY_Nexstar 2025.xls#Report1!I97; label=A97; dates=I6,I76; unit=O4</x:v>
      </x:c>
    </x:row>
    <x:row r="30" ht="30" customHeight="1">
      <x:c r="A30" s="26" t="str">
        <x:v>operating_income:fy_t_minus_1</x:v>
      </x:c>
      <x:c r="B30" s="38" t="n">
        <x:f>IF(AND(ISNUMBER(C30),ISNUMBER(D30)),C30*D30/1000000,"缺少資料")</x:f>
        <x:v>1268</x:v>
      </x:c>
      <x:c r="C30" s="39" t="n">
        <x:v>1268000</x:v>
      </x:c>
      <x:c r="D30" s="39" t="n">
        <x:v>1000</x:v>
      </x:c>
      <x:c r="E30" s="26" t="str">
        <x:v>sourced</x:v>
      </x:c>
      <x:c r="F30" s="29" t="str">
        <x:v>Operating Profit</x:v>
      </x:c>
      <x:c r="G30" s="29" t="str">
        <x:v>/Users/yuntzuyu/Downloads/e-loan/Year/E-loan YYYY_Nexstar 2025.xls#Report1!M97; label=A97; dates=M6,M76; unit=O4</x:v>
      </x:c>
    </x:row>
    <x:row r="31" ht="30" customHeight="1">
      <x:c r="A31" s="26" t="str">
        <x:v>operating_income:pct:fy_t_minus_1</x:v>
      </x:c>
      <x:c r="B31" s="40" t="n">
        <x:f>IF(AND(ISNUMBER(B30),ISNUMBER(B6)),IF(B6=0,"無法計算",B30/B6),"缺少資料")</x:f>
        <x:v>0.23451081930830406</x:v>
      </x:c>
      <x:c r="C31" s="39"/>
      <x:c r="D31" s="39"/>
      <x:c r="E31" s="26" t="str">
        <x:v>calculated</x:v>
      </x:c>
      <x:c r="F31" s="29" t="str">
        <x:v>operating_income / revenue</x:v>
      </x:c>
      <x:c r="G31" s="29" t="str"/>
    </x:row>
    <x:row r="32" ht="30" customHeight="1">
      <x:c r="A32" s="26" t="str">
        <x:v>operating_income:fy_t</x:v>
      </x:c>
      <x:c r="B32" s="38" t="n">
        <x:f>IF(AND(ISNUMBER(C32),ISNUMBER(D32)),C32*D32/1000000,"缺少資料")</x:f>
        <x:v>849</x:v>
      </x:c>
      <x:c r="C32" s="39" t="n">
        <x:v>849000</x:v>
      </x:c>
      <x:c r="D32" s="39" t="n">
        <x:v>1000</x:v>
      </x:c>
      <x:c r="E32" s="26" t="str">
        <x:v>sourced</x:v>
      </x:c>
      <x:c r="F32" s="29" t="str">
        <x:v>Operating Profit</x:v>
      </x:c>
      <x:c r="G32" s="29" t="str">
        <x:v>/Users/yuntzuyu/Downloads/e-loan/Year/E-loan YYYY_Nexstar 2025.xls#Report1!R97; label=A97; dates=R6,R76; unit=O4</x:v>
      </x:c>
    </x:row>
    <x:row r="33" ht="30" customHeight="1">
      <x:c r="A33" s="26" t="str">
        <x:v>operating_income:pct:fy_t</x:v>
      </x:c>
      <x:c r="B33" s="40" t="n">
        <x:f>IF(AND(ISNUMBER(B32),ISNUMBER(B8)),IF(B8=0,"無法計算",B32/B8),"缺少資料")</x:f>
        <x:v>0.17154980804202868</x:v>
      </x:c>
      <x:c r="C33" s="39"/>
      <x:c r="D33" s="39"/>
      <x:c r="E33" s="26" t="str">
        <x:v>calculated</x:v>
      </x:c>
      <x:c r="F33" s="29" t="str">
        <x:v>operating_income / revenue</x:v>
      </x:c>
      <x:c r="G33" s="29" t="str"/>
    </x:row>
    <x:row r="34" ht="30" customHeight="1">
      <x:c r="A34" s="26" t="str">
        <x:v>interest_expense:fy_t_minus_3</x:v>
      </x:c>
      <x:c r="B34" s="38" t="str">
        <x:v>無法計算／待確認</x:v>
      </x:c>
      <x:c r="C34" s="39"/>
      <x:c r="D34" s="39"/>
      <x:c r="E34" s="26" t="str">
        <x:v>無法計算／待確認</x:v>
      </x:c>
      <x:c r="F34" s="29" t="str">
        <x:v>Approved policy; company-specific source definition not yet verified; candidate retained</x:v>
      </x:c>
      <x:c r="G34" s="29" t="str">
        <x:v>/Users/yuntzuyu/Downloads/e-loan/Year/E-loan YYYY_Nexstar 2025.xls#Report1!D106; label=A106; dates=D6,D76; unit=O4</x:v>
      </x:c>
    </x:row>
    <x:row r="35" ht="30" customHeight="1">
      <x:c r="A35" s="26" t="str">
        <x:v>interest_expense:fy_t_minus_2</x:v>
      </x:c>
      <x:c r="B35" s="38" t="str">
        <x:v>無法計算／待確認</x:v>
      </x:c>
      <x:c r="C35" s="39"/>
      <x:c r="D35" s="39"/>
      <x:c r="E35" s="26" t="str">
        <x:v>無法計算／待確認</x:v>
      </x:c>
      <x:c r="F35" s="29" t="str">
        <x:v>Approved policy; company-specific source definition not yet verified; candidate retained</x:v>
      </x:c>
      <x:c r="G35" s="29" t="str">
        <x:v>/Users/yuntzuyu/Downloads/e-loan/Year/E-loan YYYY_Nexstar 2025.xls#Report1!I106; label=A106; dates=I6,I76; unit=O4</x:v>
      </x:c>
    </x:row>
    <x:row r="36" ht="30" customHeight="1">
      <x:c r="A36" s="26" t="str">
        <x:v>interest_expense:fy_t_minus_1</x:v>
      </x:c>
      <x:c r="B36" s="38" t="str">
        <x:v>無法計算／待確認</x:v>
      </x:c>
      <x:c r="C36" s="39"/>
      <x:c r="D36" s="39"/>
      <x:c r="E36" s="26" t="str">
        <x:v>無法計算／待確認</x:v>
      </x:c>
      <x:c r="F36" s="29" t="str">
        <x:v>Approved policy; company-specific source definition not yet verified; candidate retained</x:v>
      </x:c>
      <x:c r="G36" s="29" t="str">
        <x:v>/Users/yuntzuyu/Downloads/e-loan/Year/E-loan YYYY_Nexstar 2025.xls#Report1!M106; label=A106; dates=M6,M76; unit=O4</x:v>
      </x:c>
    </x:row>
    <x:row r="37" ht="30" customHeight="1">
      <x:c r="A37" s="26" t="str">
        <x:v>interest_expense:pct:fy_t_minus_1</x:v>
      </x:c>
      <x:c r="B37" s="40" t="str">
        <x:v>無法計算／待確認</x:v>
      </x:c>
      <x:c r="C37" s="39"/>
      <x:c r="D37" s="39"/>
      <x:c r="E37" s="26" t="str">
        <x:v>無法計算／待確認</x:v>
      </x:c>
      <x:c r="F37" s="29" t="str">
        <x:v>Required inputs unavailable</x:v>
      </x:c>
      <x:c r="G37" s="29" t="str"/>
    </x:row>
    <x:row r="38" ht="30" customHeight="1">
      <x:c r="A38" s="26" t="str">
        <x:v>interest_expense:fy_t</x:v>
      </x:c>
      <x:c r="B38" s="38" t="str">
        <x:v>無法計算／待確認</x:v>
      </x:c>
      <x:c r="C38" s="39"/>
      <x:c r="D38" s="39"/>
      <x:c r="E38" s="26" t="str">
        <x:v>無法計算／待確認</x:v>
      </x:c>
      <x:c r="F38" s="29" t="str">
        <x:v>Approved policy; company-specific source definition not yet verified; candidate retained</x:v>
      </x:c>
      <x:c r="G38" s="29" t="str">
        <x:v>/Users/yuntzuyu/Downloads/e-loan/Year/E-loan YYYY_Nexstar 2025.xls#Report1!R106; label=A106; dates=R6,R76; unit=O4</x:v>
      </x:c>
    </x:row>
    <x:row r="39" ht="30" customHeight="1">
      <x:c r="A39" s="26" t="str">
        <x:v>interest_expense:pct:fy_t</x:v>
      </x:c>
      <x:c r="B39" s="40" t="str">
        <x:v>無法計算／待確認</x:v>
      </x:c>
      <x:c r="C39" s="39"/>
      <x:c r="D39" s="39"/>
      <x:c r="E39" s="26" t="str">
        <x:v>無法計算／待確認</x:v>
      </x:c>
      <x:c r="F39" s="29" t="str">
        <x:v>Required inputs unavailable</x:v>
      </x:c>
      <x:c r="G39" s="29" t="str"/>
    </x:row>
    <x:row r="40" ht="30" customHeight="1">
      <x:c r="A40" s="26" t="str">
        <x:v>pretax_profit:fy_t_minus_3</x:v>
      </x:c>
      <x:c r="B40" s="38" t="n">
        <x:f>IF(AND(ISNUMBER(C40),ISNUMBER(D40)),C40*D40/1000000,"缺少資料")</x:f>
        <x:v>1217.1</x:v>
      </x:c>
      <x:c r="C40" s="39" t="n">
        <x:v>1217100</x:v>
      </x:c>
      <x:c r="D40" s="39" t="n">
        <x:v>1000</x:v>
      </x:c>
      <x:c r="E40" s="26" t="str">
        <x:v>sourced</x:v>
      </x:c>
      <x:c r="F40" s="29" t="str">
        <x:v>Pre-tax Profit (Loss)</x:v>
      </x:c>
      <x:c r="G40" s="29" t="str">
        <x:v>/Users/yuntzuyu/Downloads/e-loan/Year/E-loan YYYY_Nexstar 2025.xls#Report1!D111; label=A111; dates=D6,D76; unit=O4</x:v>
      </x:c>
    </x:row>
    <x:row r="41" ht="30" customHeight="1">
      <x:c r="A41" s="26" t="str">
        <x:v>pretax_profit:fy_t_minus_2</x:v>
      </x:c>
      <x:c r="B41" s="38" t="n">
        <x:f>IF(AND(ISNUMBER(C41),ISNUMBER(D41)),C41*D41/1000000,"缺少資料")</x:f>
        <x:v>401</x:v>
      </x:c>
      <x:c r="C41" s="39" t="n">
        <x:v>401000</x:v>
      </x:c>
      <x:c r="D41" s="39" t="n">
        <x:v>1000</x:v>
      </x:c>
      <x:c r="E41" s="26" t="str">
        <x:v>sourced</x:v>
      </x:c>
      <x:c r="F41" s="29" t="str">
        <x:v>Pre-tax Profit (Loss)</x:v>
      </x:c>
      <x:c r="G41" s="29" t="str">
        <x:v>/Users/yuntzuyu/Downloads/e-loan/Year/E-loan YYYY_Nexstar 2025.xls#Report1!I111; label=A111; dates=I6,I76; unit=O4</x:v>
      </x:c>
    </x:row>
    <x:row r="42" ht="30" customHeight="1">
      <x:c r="A42" s="26" t="str">
        <x:v>pretax_profit:fy_t_minus_1</x:v>
      </x:c>
      <x:c r="B42" s="38" t="n">
        <x:f>IF(AND(ISNUMBER(C42),ISNUMBER(D42)),C42*D42/1000000,"缺少資料")</x:f>
        <x:v>959</x:v>
      </x:c>
      <x:c r="C42" s="39" t="n">
        <x:v>959000</x:v>
      </x:c>
      <x:c r="D42" s="39" t="n">
        <x:v>1000</x:v>
      </x:c>
      <x:c r="E42" s="26" t="str">
        <x:v>sourced</x:v>
      </x:c>
      <x:c r="F42" s="29" t="str">
        <x:v>Pre-tax Profit (Loss)</x:v>
      </x:c>
      <x:c r="G42" s="29" t="str">
        <x:v>/Users/yuntzuyu/Downloads/e-loan/Year/E-loan YYYY_Nexstar 2025.xls#Report1!M111; label=A111; dates=M6,M76; unit=O4</x:v>
      </x:c>
    </x:row>
    <x:row r="43" ht="30" customHeight="1">
      <x:c r="A43" s="26" t="str">
        <x:v>pretax_profit:pct:fy_t_minus_1</x:v>
      </x:c>
      <x:c r="B43" s="40" t="n">
        <x:f>IF(AND(ISNUMBER(B42),ISNUMBER(B6)),IF(B6=0,"無法計算",B42/B6),"缺少資料")</x:f>
        <x:v>0.17736267800998706</x:v>
      </x:c>
      <x:c r="C43" s="39"/>
      <x:c r="D43" s="39"/>
      <x:c r="E43" s="26" t="str">
        <x:v>calculated</x:v>
      </x:c>
      <x:c r="F43" s="29" t="str">
        <x:v>pretax_profit / revenue</x:v>
      </x:c>
      <x:c r="G43" s="29" t="str"/>
    </x:row>
    <x:row r="44" ht="30" customHeight="1">
      <x:c r="A44" s="26" t="str">
        <x:v>pretax_profit:fy_t</x:v>
      </x:c>
      <x:c r="B44" s="38" t="n">
        <x:f>IF(AND(ISNUMBER(C44),ISNUMBER(D44)),C44*D44/1000000,"缺少資料")</x:f>
        <x:v>150</x:v>
      </x:c>
      <x:c r="C44" s="39" t="n">
        <x:v>150000</x:v>
      </x:c>
      <x:c r="D44" s="39" t="n">
        <x:v>1000</x:v>
      </x:c>
      <x:c r="E44" s="26" t="str">
        <x:v>sourced</x:v>
      </x:c>
      <x:c r="F44" s="29" t="str">
        <x:v>Pre-tax Profit (Loss)</x:v>
      </x:c>
      <x:c r="G44" s="29" t="str">
        <x:v>/Users/yuntzuyu/Downloads/e-loan/Year/E-loan YYYY_Nexstar 2025.xls#Report1!R111; label=A111; dates=R6,R76; unit=O4</x:v>
      </x:c>
    </x:row>
    <x:row r="45" ht="30" customHeight="1">
      <x:c r="A45" s="26" t="str">
        <x:v>pretax_profit:pct:fy_t</x:v>
      </x:c>
      <x:c r="B45" s="40" t="n">
        <x:f>IF(AND(ISNUMBER(B44),ISNUMBER(B8)),IF(B8=0,"無法計算",B44/B8),"缺少資料")</x:f>
        <x:v>0.030309153364316024</x:v>
      </x:c>
      <x:c r="C45" s="39"/>
      <x:c r="D45" s="39"/>
      <x:c r="E45" s="26" t="str">
        <x:v>calculated</x:v>
      </x:c>
      <x:c r="F45" s="29" t="str">
        <x:v>pretax_profit / revenue</x:v>
      </x:c>
      <x:c r="G45" s="29" t="str"/>
    </x:row>
    <x:row r="46" ht="30" customHeight="1">
      <x:c r="A46" s="26" t="str">
        <x:v>income_tax:fy_t_minus_3</x:v>
      </x:c>
      <x:c r="B46" s="38" t="n">
        <x:f>IF(AND(ISNUMBER(C46),ISNUMBER(D46)),C46*D46/1000000,"缺少資料")</x:f>
        <x:v>273.6</x:v>
      </x:c>
      <x:c r="C46" s="39" t="n">
        <x:v>273600</x:v>
      </x:c>
      <x:c r="D46" s="39" t="n">
        <x:v>1000</x:v>
      </x:c>
      <x:c r="E46" s="26" t="str">
        <x:v>sourced</x:v>
      </x:c>
      <x:c r="F46" s="29" t="str">
        <x:v>Income Tax Expense(Credit)</x:v>
      </x:c>
      <x:c r="G46" s="29" t="str">
        <x:v>/Users/yuntzuyu/Downloads/e-loan/Year/E-loan YYYY_Nexstar 2025.xls#Report1!D112; label=A112; dates=D6,D76; unit=O4</x:v>
      </x:c>
    </x:row>
    <x:row r="47" ht="30" customHeight="1">
      <x:c r="A47" s="26" t="str">
        <x:v>income_tax:fy_t_minus_2</x:v>
      </x:c>
      <x:c r="B47" s="38" t="n">
        <x:f>IF(AND(ISNUMBER(C47),ISNUMBER(D47)),C47*D47/1000000,"缺少資料")</x:f>
        <x:v>131</x:v>
      </x:c>
      <x:c r="C47" s="39" t="n">
        <x:v>131000</x:v>
      </x:c>
      <x:c r="D47" s="39" t="n">
        <x:v>1000</x:v>
      </x:c>
      <x:c r="E47" s="26" t="str">
        <x:v>sourced</x:v>
      </x:c>
      <x:c r="F47" s="29" t="str">
        <x:v>Income Tax Expense(Credit)</x:v>
      </x:c>
      <x:c r="G47" s="29" t="str">
        <x:v>/Users/yuntzuyu/Downloads/e-loan/Year/E-loan YYYY_Nexstar 2025.xls#Report1!I112; label=A112; dates=I6,I76; unit=O4</x:v>
      </x:c>
    </x:row>
    <x:row r="48" ht="30" customHeight="1">
      <x:c r="A48" s="26" t="str">
        <x:v>income_tax:fy_t_minus_1</x:v>
      </x:c>
      <x:c r="B48" s="38" t="n">
        <x:f>IF(AND(ISNUMBER(C48),ISNUMBER(D48)),C48*D48/1000000,"缺少資料")</x:f>
        <x:v>276</x:v>
      </x:c>
      <x:c r="C48" s="39" t="n">
        <x:v>276000</x:v>
      </x:c>
      <x:c r="D48" s="39" t="n">
        <x:v>1000</x:v>
      </x:c>
      <x:c r="E48" s="26" t="str">
        <x:v>sourced</x:v>
      </x:c>
      <x:c r="F48" s="29" t="str">
        <x:v>Income Tax Expense(Credit)</x:v>
      </x:c>
      <x:c r="G48" s="29" t="str">
        <x:v>/Users/yuntzuyu/Downloads/e-loan/Year/E-loan YYYY_Nexstar 2025.xls#Report1!M112; label=A112; dates=M6,M76; unit=O4</x:v>
      </x:c>
    </x:row>
    <x:row r="49" ht="30" customHeight="1">
      <x:c r="A49" s="26" t="str">
        <x:v>income_tax:pct:fy_t_minus_1</x:v>
      </x:c>
      <x:c r="B49" s="40" t="n">
        <x:f>IF(AND(ISNUMBER(B48),ISNUMBER(B6)),IF(B6=0,"無法計算",B48/B6),"缺少資料")</x:f>
        <x:v>0.05104494174218605</x:v>
      </x:c>
      <x:c r="C49" s="39"/>
      <x:c r="D49" s="39"/>
      <x:c r="E49" s="26" t="str">
        <x:v>calculated</x:v>
      </x:c>
      <x:c r="F49" s="29" t="str">
        <x:v>income_tax / revenue</x:v>
      </x:c>
      <x:c r="G49" s="29" t="str"/>
    </x:row>
    <x:row r="50" ht="30" customHeight="1">
      <x:c r="A50" s="26" t="str">
        <x:v>income_tax:fy_t</x:v>
      </x:c>
      <x:c r="B50" s="38" t="n">
        <x:f>IF(AND(ISNUMBER(C50),ISNUMBER(D50)),C50*D50/1000000,"缺少資料")</x:f>
        <x:v>67</x:v>
      </x:c>
      <x:c r="C50" s="39" t="n">
        <x:v>67000</x:v>
      </x:c>
      <x:c r="D50" s="39" t="n">
        <x:v>1000</x:v>
      </x:c>
      <x:c r="E50" s="26" t="str">
        <x:v>sourced</x:v>
      </x:c>
      <x:c r="F50" s="29" t="str">
        <x:v>Income Tax Expense(Credit)</x:v>
      </x:c>
      <x:c r="G50" s="29" t="str">
        <x:v>/Users/yuntzuyu/Downloads/e-loan/Year/E-loan YYYY_Nexstar 2025.xls#Report1!R112; label=A112; dates=R6,R76; unit=O4</x:v>
      </x:c>
    </x:row>
    <x:row r="51" ht="30" customHeight="1">
      <x:c r="A51" s="26" t="str">
        <x:v>income_tax:pct:fy_t</x:v>
      </x:c>
      <x:c r="B51" s="40" t="n">
        <x:f>IF(AND(ISNUMBER(B50),ISNUMBER(B8)),IF(B8=0,"無法計算",B50/B8),"缺少資料")</x:f>
        <x:v>0.013538088502727823</x:v>
      </x:c>
      <x:c r="C51" s="39"/>
      <x:c r="D51" s="39"/>
      <x:c r="E51" s="26" t="str">
        <x:v>calculated</x:v>
      </x:c>
      <x:c r="F51" s="29" t="str">
        <x:v>income_tax / revenue</x:v>
      </x:c>
      <x:c r="G51" s="29" t="str"/>
    </x:row>
    <x:row r="52" ht="30" customHeight="1">
      <x:c r="A52" s="26" t="str">
        <x:v>net_income:fy_t_minus_3</x:v>
      </x:c>
      <x:c r="B52" s="38" t="n">
        <x:f>IF(AND(ISNUMBER(C52),ISNUMBER(D52)),C52*D52/1000000,"缺少資料")</x:f>
        <x:v>943.5</x:v>
      </x:c>
      <x:c r="C52" s="39" t="n">
        <x:v>943500</x:v>
      </x:c>
      <x:c r="D52" s="39" t="n">
        <x:v>1000</x:v>
      </x:c>
      <x:c r="E52" s="26" t="str">
        <x:v>sourced</x:v>
      </x:c>
      <x:c r="F52" s="29" t="str">
        <x:v>After-tax Net Profit (Loss)</x:v>
      </x:c>
      <x:c r="G52" s="29" t="str">
        <x:v>/Users/yuntzuyu/Downloads/e-loan/Year/E-loan YYYY_Nexstar 2025.xls#Report1!D117; label=A117; dates=D6,D76; unit=O4</x:v>
      </x:c>
    </x:row>
    <x:row r="53" ht="30" customHeight="1">
      <x:c r="A53" s="26" t="str">
        <x:v>net_income:fy_t_minus_2</x:v>
      </x:c>
      <x:c r="B53" s="38" t="n">
        <x:f>IF(AND(ISNUMBER(C53),ISNUMBER(D53)),C53*D53/1000000,"缺少資料")</x:f>
        <x:v>270</x:v>
      </x:c>
      <x:c r="C53" s="39" t="n">
        <x:v>270000</x:v>
      </x:c>
      <x:c r="D53" s="39" t="n">
        <x:v>1000</x:v>
      </x:c>
      <x:c r="E53" s="26" t="str">
        <x:v>sourced</x:v>
      </x:c>
      <x:c r="F53" s="29" t="str">
        <x:v>After-tax Net Profit (Loss)</x:v>
      </x:c>
      <x:c r="G53" s="29" t="str">
        <x:v>/Users/yuntzuyu/Downloads/e-loan/Year/E-loan YYYY_Nexstar 2025.xls#Report1!I117; label=A117; dates=I6,I76; unit=O4</x:v>
      </x:c>
    </x:row>
    <x:row r="54" ht="30" customHeight="1">
      <x:c r="A54" s="26" t="str">
        <x:v>net_income:fy_t_minus_1</x:v>
      </x:c>
      <x:c r="B54" s="38" t="n">
        <x:f>IF(AND(ISNUMBER(C54),ISNUMBER(D54)),C54*D54/1000000,"缺少資料")</x:f>
        <x:v>683</x:v>
      </x:c>
      <x:c r="C54" s="39" t="n">
        <x:v>683000</x:v>
      </x:c>
      <x:c r="D54" s="39" t="n">
        <x:v>1000</x:v>
      </x:c>
      <x:c r="E54" s="26" t="str">
        <x:v>sourced</x:v>
      </x:c>
      <x:c r="F54" s="29" t="str">
        <x:v>After-tax Net Profit (Loss)</x:v>
      </x:c>
      <x:c r="G54" s="29" t="str">
        <x:v>/Users/yuntzuyu/Downloads/e-loan/Year/E-loan YYYY_Nexstar 2025.xls#Report1!M117; label=A117; dates=M6,M76; unit=O4</x:v>
      </x:c>
    </x:row>
    <x:row r="55" ht="30" customHeight="1">
      <x:c r="A55" s="26" t="str">
        <x:v>net_income:pct:fy_t_minus_1</x:v>
      </x:c>
      <x:c r="B55" s="40" t="n">
        <x:f>IF(AND(ISNUMBER(B54),ISNUMBER(B6)),IF(B6=0,"無法計算",B54/B6),"缺少資料")</x:f>
        <x:v>0.126317736267801</x:v>
      </x:c>
      <x:c r="C55" s="39"/>
      <x:c r="D55" s="39"/>
      <x:c r="E55" s="26" t="str">
        <x:v>calculated</x:v>
      </x:c>
      <x:c r="F55" s="29" t="str">
        <x:v>net_income / revenue</x:v>
      </x:c>
      <x:c r="G55" s="29" t="str"/>
    </x:row>
    <x:row r="56" ht="30" customHeight="1">
      <x:c r="A56" s="26" t="str">
        <x:v>net_income:fy_t</x:v>
      </x:c>
      <x:c r="B56" s="38" t="n">
        <x:f>IF(AND(ISNUMBER(C56),ISNUMBER(D56)),C56*D56/1000000,"缺少資料")</x:f>
        <x:v>83</x:v>
      </x:c>
      <x:c r="C56" s="39" t="n">
        <x:v>83000</x:v>
      </x:c>
      <x:c r="D56" s="39" t="n">
        <x:v>1000</x:v>
      </x:c>
      <x:c r="E56" s="26" t="str">
        <x:v>sourced</x:v>
      </x:c>
      <x:c r="F56" s="29" t="str">
        <x:v>After-tax Net Profit (Loss)</x:v>
      </x:c>
      <x:c r="G56" s="29" t="str">
        <x:v>/Users/yuntzuyu/Downloads/e-loan/Year/E-loan YYYY_Nexstar 2025.xls#Report1!R117; label=A117; dates=R6,R76; unit=O4</x:v>
      </x:c>
    </x:row>
    <x:row r="57" ht="30" customHeight="1">
      <x:c r="A57" s="26" t="str">
        <x:v>net_income:pct:fy_t</x:v>
      </x:c>
      <x:c r="B57" s="40" t="n">
        <x:f>IF(AND(ISNUMBER(B56),ISNUMBER(B8)),IF(B8=0,"無法計算",B56/B8),"缺少資料")</x:f>
        <x:v>0.0167710648615882</x:v>
      </x:c>
      <x:c r="C57" s="39"/>
      <x:c r="D57" s="39"/>
      <x:c r="E57" s="26" t="str">
        <x:v>calculated</x:v>
      </x:c>
      <x:c r="F57" s="29" t="str">
        <x:v>net_income / revenue</x:v>
      </x:c>
      <x:c r="G57" s="29" t="str"/>
    </x:row>
    <x:row r="58" ht="30" customHeight="1">
      <x:c r="A58" s="26" t="str">
        <x:v>beginning_cash:fy_t_minus_3</x:v>
      </x:c>
      <x:c r="B58" s="38" t="str">
        <x:v>無法計算／待確認</x:v>
      </x:c>
      <x:c r="C58" s="39"/>
      <x:c r="D58" s="39"/>
      <x:c r="E58" s="26" t="str">
        <x:v>無法計算／待確認</x:v>
      </x:c>
      <x:c r="F58" s="29" t="str">
        <x:v>CF區未重列期間；上方IS期間是否同樣適用及現金定義尚未核實，候選數值保留於來源清單</x:v>
      </x:c>
      <x:c r="G58" s="29" t="str">
        <x:v>/Users/yuntzuyu/Downloads/e-loan/Year/E-loan YYYY_Nexstar 2025.xls#Report1!D129; label=A129; dates=D6,D76; unit=O4</x:v>
      </x:c>
    </x:row>
    <x:row r="59" ht="30" customHeight="1">
      <x:c r="A59" s="26" t="str">
        <x:v>beginning_cash:fy_t_minus_2</x:v>
      </x:c>
      <x:c r="B59" s="38" t="str">
        <x:v>無法計算／待確認</x:v>
      </x:c>
      <x:c r="C59" s="39"/>
      <x:c r="D59" s="39"/>
      <x:c r="E59" s="26" t="str">
        <x:v>無法計算／待確認</x:v>
      </x:c>
      <x:c r="F59" s="29" t="str">
        <x:v>CF區未重列期間；上方IS期間是否同樣適用及現金定義尚未核實，候選數值保留於來源清單</x:v>
      </x:c>
      <x:c r="G59" s="29" t="str">
        <x:v>/Users/yuntzuyu/Downloads/e-loan/Year/E-loan YYYY_Nexstar 2025.xls#Report1!I129; label=A129; dates=I6,I76; unit=O4</x:v>
      </x:c>
    </x:row>
    <x:row r="60" ht="30" customHeight="1">
      <x:c r="A60" s="26" t="str">
        <x:v>beginning_cash:fy_t_minus_1</x:v>
      </x:c>
      <x:c r="B60" s="38" t="str">
        <x:v>無法計算／待確認</x:v>
      </x:c>
      <x:c r="C60" s="39"/>
      <x:c r="D60" s="39"/>
      <x:c r="E60" s="26" t="str">
        <x:v>無法計算／待確認</x:v>
      </x:c>
      <x:c r="F60" s="29" t="str">
        <x:v>CF區未重列期間；上方IS期間是否同樣適用及現金定義尚未核實，候選數值保留於來源清單</x:v>
      </x:c>
      <x:c r="G60" s="29" t="str">
        <x:v>/Users/yuntzuyu/Downloads/e-loan/Year/E-loan YYYY_Nexstar 2025.xls#Report1!M129; label=A129; dates=M6,M76; unit=O4</x:v>
      </x:c>
    </x:row>
    <x:row r="61" ht="30" customHeight="1">
      <x:c r="A61" s="26" t="str">
        <x:v>beginning_cash:fy_t</x:v>
      </x:c>
      <x:c r="B61" s="38" t="str">
        <x:v>無法計算／待確認</x:v>
      </x:c>
      <x:c r="C61" s="39"/>
      <x:c r="D61" s="39"/>
      <x:c r="E61" s="26" t="str">
        <x:v>無法計算／待確認</x:v>
      </x:c>
      <x:c r="F61" s="29" t="str">
        <x:v>CF區未重列期間；上方IS期間是否同樣適用及現金定義尚未核實，候選數值保留於來源清單</x:v>
      </x:c>
      <x:c r="G61" s="29" t="str">
        <x:v>/Users/yuntzuyu/Downloads/e-loan/Year/E-loan YYYY_Nexstar 2025.xls#Report1!R129; label=A129; dates=R6,R76; unit=O4</x:v>
      </x:c>
    </x:row>
    <x:row r="62" ht="30" customHeight="1">
      <x:c r="A62" s="26" t="str">
        <x:v>cfo:fy_t_minus_3</x:v>
      </x:c>
      <x:c r="B62" s="38" t="str">
        <x:v>無法計算／待確認</x:v>
      </x:c>
      <x:c r="C62" s="39"/>
      <x:c r="D62" s="39"/>
      <x:c r="E62" s="26" t="str">
        <x:v>無法計算／待確認</x:v>
      </x:c>
      <x:c r="F62" s="29" t="str">
        <x:v>CF區未重列期間；上方IS期間是否同樣適用及現金定義尚未核實，候選數值保留於來源清單</x:v>
      </x:c>
      <x:c r="G62" s="29" t="str">
        <x:v>/Users/yuntzuyu/Downloads/e-loan/Year/E-loan YYYY_Nexstar 2025.xls#Report1!D159; label=A159; dates=D6,D76; unit=O4</x:v>
      </x:c>
    </x:row>
    <x:row r="63" ht="30" customHeight="1">
      <x:c r="A63" s="26" t="str">
        <x:v>cfo:fy_t_minus_2</x:v>
      </x:c>
      <x:c r="B63" s="38" t="str">
        <x:v>無法計算／待確認</x:v>
      </x:c>
      <x:c r="C63" s="39"/>
      <x:c r="D63" s="39"/>
      <x:c r="E63" s="26" t="str">
        <x:v>無法計算／待確認</x:v>
      </x:c>
      <x:c r="F63" s="29" t="str">
        <x:v>CF區未重列期間；上方IS期間是否同樣適用及現金定義尚未核實，候選數值保留於來源清單</x:v>
      </x:c>
      <x:c r="G63" s="29" t="str">
        <x:v>/Users/yuntzuyu/Downloads/e-loan/Year/E-loan YYYY_Nexstar 2025.xls#Report1!I159; label=A159; dates=I6,I76; unit=O4</x:v>
      </x:c>
    </x:row>
    <x:row r="64" ht="30" customHeight="1">
      <x:c r="A64" s="26" t="str">
        <x:v>cfo:fy_t_minus_1</x:v>
      </x:c>
      <x:c r="B64" s="38" t="str">
        <x:v>無法計算／待確認</x:v>
      </x:c>
      <x:c r="C64" s="39"/>
      <x:c r="D64" s="39"/>
      <x:c r="E64" s="26" t="str">
        <x:v>無法計算／待確認</x:v>
      </x:c>
      <x:c r="F64" s="29" t="str">
        <x:v>CF區未重列期間；上方IS期間是否同樣適用及現金定義尚未核實，候選數值保留於來源清單</x:v>
      </x:c>
      <x:c r="G64" s="29" t="str">
        <x:v>/Users/yuntzuyu/Downloads/e-loan/Year/E-loan YYYY_Nexstar 2025.xls#Report1!M159; label=A159; dates=M6,M76; unit=O4</x:v>
      </x:c>
    </x:row>
    <x:row r="65" ht="30" customHeight="1">
      <x:c r="A65" s="26" t="str">
        <x:v>cfo:fy_t</x:v>
      </x:c>
      <x:c r="B65" s="38" t="str">
        <x:v>無法計算／待確認</x:v>
      </x:c>
      <x:c r="C65" s="39"/>
      <x:c r="D65" s="39"/>
      <x:c r="E65" s="26" t="str">
        <x:v>無法計算／待確認</x:v>
      </x:c>
      <x:c r="F65" s="29" t="str">
        <x:v>CF區未重列期間；上方IS期間是否同樣適用及現金定義尚未核實，候選數值保留於來源清單</x:v>
      </x:c>
      <x:c r="G65" s="29" t="str">
        <x:v>/Users/yuntzuyu/Downloads/e-loan/Year/E-loan YYYY_Nexstar 2025.xls#Report1!R159; label=A159; dates=R6,R76; unit=O4</x:v>
      </x:c>
    </x:row>
    <x:row r="66" ht="30" customHeight="1">
      <x:c r="A66" s="26" t="str">
        <x:v>cfi:fy_t_minus_3</x:v>
      </x:c>
      <x:c r="B66" s="38" t="str">
        <x:v>無法計算／待確認</x:v>
      </x:c>
      <x:c r="C66" s="39"/>
      <x:c r="D66" s="39"/>
      <x:c r="E66" s="26" t="str">
        <x:v>無法計算／待確認</x:v>
      </x:c>
      <x:c r="F66" s="29" t="str">
        <x:v>CF區未重列期間；上方IS期間是否同樣適用及現金定義尚未核實，候選數值保留於來源清單</x:v>
      </x:c>
      <x:c r="G66" s="29" t="str">
        <x:v>/Users/yuntzuyu/Downloads/e-loan/Year/E-loan YYYY_Nexstar 2025.xls#Report1!D173; label=A173; dates=D6,D76; unit=O4</x:v>
      </x:c>
    </x:row>
    <x:row r="67" ht="30" customHeight="1">
      <x:c r="A67" s="26" t="str">
        <x:v>cfi:fy_t_minus_2</x:v>
      </x:c>
      <x:c r="B67" s="38" t="str">
        <x:v>無法計算／待確認</x:v>
      </x:c>
      <x:c r="C67" s="39"/>
      <x:c r="D67" s="39"/>
      <x:c r="E67" s="26" t="str">
        <x:v>無法計算／待確認</x:v>
      </x:c>
      <x:c r="F67" s="29" t="str">
        <x:v>CF區未重列期間；上方IS期間是否同樣適用及現金定義尚未核實，候選數值保留於來源清單</x:v>
      </x:c>
      <x:c r="G67" s="29" t="str">
        <x:v>/Users/yuntzuyu/Downloads/e-loan/Year/E-loan YYYY_Nexstar 2025.xls#Report1!I173; label=A173; dates=I6,I76; unit=O4</x:v>
      </x:c>
    </x:row>
    <x:row r="68" ht="30" customHeight="1">
      <x:c r="A68" s="26" t="str">
        <x:v>cfi:fy_t_minus_1</x:v>
      </x:c>
      <x:c r="B68" s="38" t="str">
        <x:v>無法計算／待確認</x:v>
      </x:c>
      <x:c r="C68" s="39"/>
      <x:c r="D68" s="39"/>
      <x:c r="E68" s="26" t="str">
        <x:v>無法計算／待確認</x:v>
      </x:c>
      <x:c r="F68" s="29" t="str">
        <x:v>CF區未重列期間；上方IS期間是否同樣適用及現金定義尚未核實，候選數值保留於來源清單</x:v>
      </x:c>
      <x:c r="G68" s="29" t="str">
        <x:v>/Users/yuntzuyu/Downloads/e-loan/Year/E-loan YYYY_Nexstar 2025.xls#Report1!M173; label=A173; dates=M6,M76; unit=O4</x:v>
      </x:c>
    </x:row>
    <x:row r="69" ht="30" customHeight="1">
      <x:c r="A69" s="26" t="str">
        <x:v>cfi:fy_t</x:v>
      </x:c>
      <x:c r="B69" s="38" t="str">
        <x:v>無法計算／待確認</x:v>
      </x:c>
      <x:c r="C69" s="39"/>
      <x:c r="D69" s="39"/>
      <x:c r="E69" s="26" t="str">
        <x:v>無法計算／待確認</x:v>
      </x:c>
      <x:c r="F69" s="29" t="str">
        <x:v>CF區未重列期間；上方IS期間是否同樣適用及現金定義尚未核實，候選數值保留於來源清單</x:v>
      </x:c>
      <x:c r="G69" s="29" t="str">
        <x:v>/Users/yuntzuyu/Downloads/e-loan/Year/E-loan YYYY_Nexstar 2025.xls#Report1!R173; label=A173; dates=R6,R76; unit=O4</x:v>
      </x:c>
    </x:row>
    <x:row r="70" ht="30" customHeight="1">
      <x:c r="A70" s="26" t="str">
        <x:v>cff:fy_t_minus_3</x:v>
      </x:c>
      <x:c r="B70" s="38" t="str">
        <x:v>無法計算／待確認</x:v>
      </x:c>
      <x:c r="C70" s="39"/>
      <x:c r="D70" s="39"/>
      <x:c r="E70" s="26" t="str">
        <x:v>無法計算／待確認</x:v>
      </x:c>
      <x:c r="F70" s="29" t="str">
        <x:v>CF區未重列期間；上方IS期間是否同樣適用及現金定義尚未核實，候選數值保留於來源清單</x:v>
      </x:c>
      <x:c r="G70" s="29" t="str">
        <x:v>/Users/yuntzuyu/Downloads/e-loan/Year/E-loan YYYY_Nexstar 2025.xls#Report1!D189; label=A189; dates=D6,D76; unit=O4</x:v>
      </x:c>
    </x:row>
    <x:row r="71" ht="30" customHeight="1">
      <x:c r="A71" s="26" t="str">
        <x:v>cff:fy_t_minus_2</x:v>
      </x:c>
      <x:c r="B71" s="38" t="str">
        <x:v>無法計算／待確認</x:v>
      </x:c>
      <x:c r="C71" s="39"/>
      <x:c r="D71" s="39"/>
      <x:c r="E71" s="26" t="str">
        <x:v>無法計算／待確認</x:v>
      </x:c>
      <x:c r="F71" s="29" t="str">
        <x:v>CF區未重列期間；上方IS期間是否同樣適用及現金定義尚未核實，候選數值保留於來源清單</x:v>
      </x:c>
      <x:c r="G71" s="29" t="str">
        <x:v>/Users/yuntzuyu/Downloads/e-loan/Year/E-loan YYYY_Nexstar 2025.xls#Report1!I189; label=A189; dates=I6,I76; unit=O4</x:v>
      </x:c>
    </x:row>
    <x:row r="72" ht="30" customHeight="1">
      <x:c r="A72" s="26" t="str">
        <x:v>cff:fy_t_minus_1</x:v>
      </x:c>
      <x:c r="B72" s="38" t="str">
        <x:v>無法計算／待確認</x:v>
      </x:c>
      <x:c r="C72" s="39"/>
      <x:c r="D72" s="39"/>
      <x:c r="E72" s="26" t="str">
        <x:v>無法計算／待確認</x:v>
      </x:c>
      <x:c r="F72" s="29" t="str">
        <x:v>CF區未重列期間；上方IS期間是否同樣適用及現金定義尚未核實，候選數值保留於來源清單</x:v>
      </x:c>
      <x:c r="G72" s="29" t="str">
        <x:v>/Users/yuntzuyu/Downloads/e-loan/Year/E-loan YYYY_Nexstar 2025.xls#Report1!M189; label=A189; dates=M6,M76; unit=O4</x:v>
      </x:c>
    </x:row>
    <x:row r="73" ht="30" customHeight="1">
      <x:c r="A73" s="26" t="str">
        <x:v>cff:fy_t</x:v>
      </x:c>
      <x:c r="B73" s="38" t="str">
        <x:v>無法計算／待確認</x:v>
      </x:c>
      <x:c r="C73" s="39"/>
      <x:c r="D73" s="39"/>
      <x:c r="E73" s="26" t="str">
        <x:v>無法計算／待確認</x:v>
      </x:c>
      <x:c r="F73" s="29" t="str">
        <x:v>CF區未重列期間；上方IS期間是否同樣適用及現金定義尚未核實，候選數值保留於來源清單</x:v>
      </x:c>
      <x:c r="G73" s="29" t="str">
        <x:v>/Users/yuntzuyu/Downloads/e-loan/Year/E-loan YYYY_Nexstar 2025.xls#Report1!R189; label=A189; dates=R6,R76; unit=O4</x:v>
      </x:c>
    </x:row>
    <x:row r="74" ht="30" customHeight="1">
      <x:c r="A74" s="26" t="str">
        <x:v>ending_cash:fy_t_minus_3</x:v>
      </x:c>
      <x:c r="B74" s="38" t="str">
        <x:v>無法計算／待確認</x:v>
      </x:c>
      <x:c r="C74" s="39"/>
      <x:c r="D74" s="39"/>
      <x:c r="E74" s="26" t="str">
        <x:v>無法計算／待確認</x:v>
      </x:c>
      <x:c r="F74" s="29" t="str">
        <x:v>CF區未重列期間；上方IS期間是否同樣適用及現金定義尚未核實，候選數值保留於來源清單</x:v>
      </x:c>
      <x:c r="G74" s="29" t="str">
        <x:v>/Users/yuntzuyu/Downloads/e-loan/Year/E-loan YYYY_Nexstar 2025.xls#Report1!D194; label=A194; dates=D6,D76; unit=O4</x:v>
      </x:c>
    </x:row>
    <x:row r="75" ht="30" customHeight="1">
      <x:c r="A75" s="26" t="str">
        <x:v>ending_cash:fy_t_minus_2</x:v>
      </x:c>
      <x:c r="B75" s="38" t="str">
        <x:v>無法計算／待確認</x:v>
      </x:c>
      <x:c r="C75" s="39"/>
      <x:c r="D75" s="39"/>
      <x:c r="E75" s="26" t="str">
        <x:v>無法計算／待確認</x:v>
      </x:c>
      <x:c r="F75" s="29" t="str">
        <x:v>CF區未重列期間；上方IS期間是否同樣適用及現金定義尚未核實，候選數值保留於來源清單</x:v>
      </x:c>
      <x:c r="G75" s="29" t="str">
        <x:v>/Users/yuntzuyu/Downloads/e-loan/Year/E-loan YYYY_Nexstar 2025.xls#Report1!I194; label=A194; dates=I6,I76; unit=O4</x:v>
      </x:c>
    </x:row>
    <x:row r="76" ht="30" customHeight="1">
      <x:c r="A76" s="26" t="str">
        <x:v>ending_cash:fy_t_minus_1</x:v>
      </x:c>
      <x:c r="B76" s="38" t="str">
        <x:v>無法計算／待確認</x:v>
      </x:c>
      <x:c r="C76" s="39"/>
      <x:c r="D76" s="39"/>
      <x:c r="E76" s="26" t="str">
        <x:v>無法計算／待確認</x:v>
      </x:c>
      <x:c r="F76" s="29" t="str">
        <x:v>CF區未重列期間；上方IS期間是否同樣適用及現金定義尚未核實，候選數值保留於來源清單</x:v>
      </x:c>
      <x:c r="G76" s="29" t="str">
        <x:v>/Users/yuntzuyu/Downloads/e-loan/Year/E-loan YYYY_Nexstar 2025.xls#Report1!M194; label=A194; dates=M6,M76; unit=O4</x:v>
      </x:c>
    </x:row>
    <x:row r="77" ht="30" customHeight="1">
      <x:c r="A77" s="26" t="str">
        <x:v>ending_cash:fy_t</x:v>
      </x:c>
      <x:c r="B77" s="38" t="str">
        <x:v>無法計算／待確認</x:v>
      </x:c>
      <x:c r="C77" s="39"/>
      <x:c r="D77" s="39"/>
      <x:c r="E77" s="26" t="str">
        <x:v>無法計算／待確認</x:v>
      </x:c>
      <x:c r="F77" s="29" t="str">
        <x:v>CF區未重列期間；上方IS期間是否同樣適用及現金定義尚未核實，候選數值保留於來源清單</x:v>
      </x:c>
      <x:c r="G77" s="29" t="str">
        <x:v>/Users/yuntzuyu/Downloads/e-loan/Year/E-loan YYYY_Nexstar 2025.xls#Report1!R194; label=A194; dates=R6,R76; unit=O4</x:v>
      </x:c>
    </x:row>
    <x:row r="78" ht="30" customHeight="1">
      <x:c r="A78" s="26" t="str">
        <x:v>cash_change:fy_t_minus_3</x:v>
      </x:c>
      <x:c r="B78" s="38" t="str">
        <x:v>無法計算／待確認</x:v>
      </x:c>
      <x:c r="C78" s="39"/>
      <x:c r="D78" s="39"/>
      <x:c r="E78" s="26" t="str">
        <x:v>無法計算／待確認</x:v>
      </x:c>
      <x:c r="F78" s="29" t="str">
        <x:v>Reviewed same-basis cash reconciliation required; no automatic cash bridge</x:v>
      </x:c>
      <x:c r="G78" s="29" t="str"/>
    </x:row>
    <x:row r="79" ht="30" customHeight="1">
      <x:c r="A79" s="26" t="str">
        <x:v>cash_change:fy_t_minus_2</x:v>
      </x:c>
      <x:c r="B79" s="38" t="str">
        <x:v>無法計算／待確認</x:v>
      </x:c>
      <x:c r="C79" s="39"/>
      <x:c r="D79" s="39"/>
      <x:c r="E79" s="26" t="str">
        <x:v>無法計算／待確認</x:v>
      </x:c>
      <x:c r="F79" s="29" t="str">
        <x:v>Reviewed same-basis cash reconciliation required; no automatic cash bridge</x:v>
      </x:c>
      <x:c r="G79" s="29" t="str"/>
    </x:row>
    <x:row r="80" ht="30" customHeight="1">
      <x:c r="A80" s="26" t="str">
        <x:v>cash_change:fy_t_minus_1</x:v>
      </x:c>
      <x:c r="B80" s="38" t="str">
        <x:v>無法計算／待確認</x:v>
      </x:c>
      <x:c r="C80" s="39"/>
      <x:c r="D80" s="39"/>
      <x:c r="E80" s="26" t="str">
        <x:v>無法計算／待確認</x:v>
      </x:c>
      <x:c r="F80" s="29" t="str">
        <x:v>Reviewed same-basis cash reconciliation required; no automatic cash bridge</x:v>
      </x:c>
      <x:c r="G80" s="29" t="str"/>
    </x:row>
    <x:row r="81" ht="30" customHeight="1">
      <x:c r="A81" s="26" t="str">
        <x:v>cash_change:fy_t</x:v>
      </x:c>
      <x:c r="B81" s="38" t="str">
        <x:v>無法計算／待確認</x:v>
      </x:c>
      <x:c r="C81" s="39"/>
      <x:c r="D81" s="39"/>
      <x:c r="E81" s="26" t="str">
        <x:v>無法計算／待確認</x:v>
      </x:c>
      <x:c r="F81" s="29" t="str">
        <x:v>Reviewed same-basis cash reconciliation required; no automatic cash bridge</x:v>
      </x:c>
      <x:c r="G81" s="29" t="str"/>
    </x:row>
    <x:row r="82" ht="30" customHeight="1">
      <x:c r="A82" s="26" t="str">
        <x:v>current_ratio:fy_t_minus_3</x:v>
      </x:c>
      <x:c r="B82" s="40" t="n">
        <x:f>IF(AND(ISNUMBER(B130),ISNUMBER(B131)),IF(B131=0,"無法計算",B130/B131),"缺少資料")</x:f>
        <x:v>1.8075459023734886</x:v>
      </x:c>
      <x:c r="C82" s="39"/>
      <x:c r="D82" s="39"/>
      <x:c r="E82" s="26" t="str">
        <x:v>calculated</x:v>
      </x:c>
      <x:c r="F82" s="29" t="str">
        <x:v>Current Assets / Current Liabilities</x:v>
      </x:c>
      <x:c r="G82" s="29" t="str"/>
    </x:row>
    <x:row r="83" ht="30" customHeight="1">
      <x:c r="A83" s="26" t="str">
        <x:v>current_ratio:fy_t_minus_2</x:v>
      </x:c>
      <x:c r="B83" s="40" t="n">
        <x:f>IF(AND(ISNUMBER(B137),ISNUMBER(B138)),IF(B138=0,"無法計算",B137/B138),"缺少資料")</x:f>
        <x:v>1.5254942767950053</x:v>
      </x:c>
      <x:c r="C83" s="39"/>
      <x:c r="D83" s="39"/>
      <x:c r="E83" s="26" t="str">
        <x:v>calculated</x:v>
      </x:c>
      <x:c r="F83" s="29" t="str">
        <x:v>Current Assets / Current Liabilities</x:v>
      </x:c>
      <x:c r="G83" s="29" t="str"/>
    </x:row>
    <x:row r="84" ht="30" customHeight="1">
      <x:c r="A84" s="26" t="str">
        <x:v>current_ratio:fy_t_minus_1</x:v>
      </x:c>
      <x:c r="B84" s="40" t="n">
        <x:f>IF(AND(ISNUMBER(B144),ISNUMBER(B145)),IF(B145=0,"無法計算",B144/B145),"缺少資料")</x:f>
        <x:v>1.656449553001277</x:v>
      </x:c>
      <x:c r="C84" s="39"/>
      <x:c r="D84" s="39"/>
      <x:c r="E84" s="26" t="str">
        <x:v>calculated</x:v>
      </x:c>
      <x:c r="F84" s="29" t="str">
        <x:v>Current Assets / Current Liabilities</x:v>
      </x:c>
      <x:c r="G84" s="29" t="str"/>
    </x:row>
    <x:row r="85" ht="30" customHeight="1">
      <x:c r="A85" s="26" t="str">
        <x:v>current_ratio:fy_t</x:v>
      </x:c>
      <x:c r="B85" s="40" t="n">
        <x:f>IF(AND(ISNUMBER(B151),ISNUMBER(B152)),IF(B152=0,"無法計算",B151/B152),"缺少資料")</x:f>
        <x:v>2.071729957805907</x:v>
      </x:c>
      <x:c r="C85" s="39"/>
      <x:c r="D85" s="39"/>
      <x:c r="E85" s="26" t="str">
        <x:v>calculated</x:v>
      </x:c>
      <x:c r="F85" s="29" t="str">
        <x:v>Current Assets / Current Liabilities</x:v>
      </x:c>
      <x:c r="G85" s="29" t="str"/>
    </x:row>
    <x:row r="86" ht="30" customHeight="1">
      <x:c r="A86" s="26" t="str">
        <x:v>quick_ratio:fy_t_minus_3</x:v>
      </x:c>
      <x:c r="B86" s="40" t="str">
        <x:v>無法計算／待確認</x:v>
      </x:c>
      <x:c r="C86" s="39"/>
      <x:c r="D86" s="39"/>
      <x:c r="E86" s="26" t="str">
        <x:v>無法計算／待確認</x:v>
      </x:c>
      <x:c r="F86" s="29" t="str">
        <x:v>Required inputs unavailable</x:v>
      </x:c>
      <x:c r="G86" s="29" t="str"/>
    </x:row>
    <x:row r="87" ht="30" customHeight="1">
      <x:c r="A87" s="26" t="str">
        <x:v>quick_ratio:fy_t_minus_2</x:v>
      </x:c>
      <x:c r="B87" s="40" t="str">
        <x:v>無法計算／待確認</x:v>
      </x:c>
      <x:c r="C87" s="39"/>
      <x:c r="D87" s="39"/>
      <x:c r="E87" s="26" t="str">
        <x:v>無法計算／待確認</x:v>
      </x:c>
      <x:c r="F87" s="29" t="str">
        <x:v>Required inputs unavailable</x:v>
      </x:c>
      <x:c r="G87" s="29" t="str"/>
    </x:row>
    <x:row r="88" ht="30" customHeight="1">
      <x:c r="A88" s="26" t="str">
        <x:v>quick_ratio:fy_t_minus_1</x:v>
      </x:c>
      <x:c r="B88" s="40" t="str">
        <x:v>無法計算／待確認</x:v>
      </x:c>
      <x:c r="C88" s="39"/>
      <x:c r="D88" s="39"/>
      <x:c r="E88" s="26" t="str">
        <x:v>無法計算／待確認</x:v>
      </x:c>
      <x:c r="F88" s="29" t="str">
        <x:v>Required inputs unavailable</x:v>
      </x:c>
      <x:c r="G88" s="29" t="str"/>
    </x:row>
    <x:row r="89" ht="30" customHeight="1">
      <x:c r="A89" s="26" t="str">
        <x:v>quick_ratio:fy_t</x:v>
      </x:c>
      <x:c r="B89" s="40" t="str">
        <x:v>無法計算／待確認</x:v>
      </x:c>
      <x:c r="C89" s="39"/>
      <x:c r="D89" s="39"/>
      <x:c r="E89" s="26" t="str">
        <x:v>無法計算／待確認</x:v>
      </x:c>
      <x:c r="F89" s="29" t="str">
        <x:v>Required inputs unavailable</x:v>
      </x:c>
      <x:c r="G89" s="29" t="str"/>
    </x:row>
    <x:row r="90" ht="30" customHeight="1">
      <x:c r="A90" s="26" t="str">
        <x:v>cash_flow_ratio:fy_t_minus_3</x:v>
      </x:c>
      <x:c r="B90" s="40" t="str">
        <x:v>無法計算／待確認</x:v>
      </x:c>
      <x:c r="C90" s="39"/>
      <x:c r="D90" s="39"/>
      <x:c r="E90" s="26" t="str">
        <x:v>無法計算／待確認</x:v>
      </x:c>
      <x:c r="F90" s="29" t="str">
        <x:v>Required inputs unavailable</x:v>
      </x:c>
      <x:c r="G90" s="29" t="str"/>
    </x:row>
    <x:row r="91" ht="30" customHeight="1">
      <x:c r="A91" s="26" t="str">
        <x:v>cash_flow_ratio:fy_t_minus_2</x:v>
      </x:c>
      <x:c r="B91" s="40" t="str">
        <x:v>無法計算／待確認</x:v>
      </x:c>
      <x:c r="C91" s="39"/>
      <x:c r="D91" s="39"/>
      <x:c r="E91" s="26" t="str">
        <x:v>無法計算／待確認</x:v>
      </x:c>
      <x:c r="F91" s="29" t="str">
        <x:v>Required inputs unavailable</x:v>
      </x:c>
      <x:c r="G91" s="29" t="str"/>
    </x:row>
    <x:row r="92" ht="30" customHeight="1">
      <x:c r="A92" s="26" t="str">
        <x:v>cash_flow_ratio:fy_t_minus_1</x:v>
      </x:c>
      <x:c r="B92" s="40" t="str">
        <x:v>無法計算／待確認</x:v>
      </x:c>
      <x:c r="C92" s="39"/>
      <x:c r="D92" s="39"/>
      <x:c r="E92" s="26" t="str">
        <x:v>無法計算／待確認</x:v>
      </x:c>
      <x:c r="F92" s="29" t="str">
        <x:v>Required inputs unavailable</x:v>
      </x:c>
      <x:c r="G92" s="29" t="str"/>
    </x:row>
    <x:row r="93" ht="30" customHeight="1">
      <x:c r="A93" s="26" t="str">
        <x:v>cash_flow_ratio:fy_t</x:v>
      </x:c>
      <x:c r="B93" s="40" t="str">
        <x:v>無法計算／待確認</x:v>
      </x:c>
      <x:c r="C93" s="39"/>
      <x:c r="D93" s="39"/>
      <x:c r="E93" s="26" t="str">
        <x:v>無法計算／待確認</x:v>
      </x:c>
      <x:c r="F93" s="29" t="str">
        <x:v>Required inputs unavailable</x:v>
      </x:c>
      <x:c r="G93" s="29" t="str"/>
    </x:row>
    <x:row r="94" ht="30" customHeight="1">
      <x:c r="A94" s="26" t="str">
        <x:v>debt_ratio:fy_t_minus_3</x:v>
      </x:c>
      <x:c r="B94" s="40" t="str">
        <x:v>無法計算／待確認</x:v>
      </x:c>
      <x:c r="C94" s="39"/>
      <x:c r="D94" s="39"/>
      <x:c r="E94" s="26" t="str">
        <x:v>無法計算／待確認</x:v>
      </x:c>
      <x:c r="F94" s="29" t="str">
        <x:v>Required inputs unavailable</x:v>
      </x:c>
      <x:c r="G94" s="29" t="str"/>
    </x:row>
    <x:row r="95" ht="30" customHeight="1">
      <x:c r="A95" s="26" t="str">
        <x:v>debt_ratio:fy_t_minus_2</x:v>
      </x:c>
      <x:c r="B95" s="40" t="str">
        <x:v>無法計算／待確認</x:v>
      </x:c>
      <x:c r="C95" s="39"/>
      <x:c r="D95" s="39"/>
      <x:c r="E95" s="26" t="str">
        <x:v>無法計算／待確認</x:v>
      </x:c>
      <x:c r="F95" s="29" t="str">
        <x:v>Required inputs unavailable</x:v>
      </x:c>
      <x:c r="G95" s="29" t="str"/>
    </x:row>
    <x:row r="96" ht="30" customHeight="1">
      <x:c r="A96" s="26" t="str">
        <x:v>debt_ratio:fy_t_minus_1</x:v>
      </x:c>
      <x:c r="B96" s="40" t="str">
        <x:v>無法計算／待確認</x:v>
      </x:c>
      <x:c r="C96" s="39"/>
      <x:c r="D96" s="39"/>
      <x:c r="E96" s="26" t="str">
        <x:v>無法計算／待確認</x:v>
      </x:c>
      <x:c r="F96" s="29" t="str">
        <x:v>Required inputs unavailable</x:v>
      </x:c>
      <x:c r="G96" s="29" t="str"/>
    </x:row>
    <x:row r="97" ht="30" customHeight="1">
      <x:c r="A97" s="26" t="str">
        <x:v>debt_ratio:fy_t</x:v>
      </x:c>
      <x:c r="B97" s="40" t="str">
        <x:v>無法計算／待確認</x:v>
      </x:c>
      <x:c r="C97" s="39"/>
      <x:c r="D97" s="39"/>
      <x:c r="E97" s="26" t="str">
        <x:v>無法計算／待確認</x:v>
      </x:c>
      <x:c r="F97" s="29" t="str">
        <x:v>Required inputs unavailable</x:v>
      </x:c>
      <x:c r="G97" s="29" t="str"/>
    </x:row>
    <x:row r="98" ht="30" customHeight="1">
      <x:c r="A98" s="26" t="str">
        <x:v>interest_coverage:fy_t_minus_3</x:v>
      </x:c>
      <x:c r="B98" s="41" t="str">
        <x:v>無法計算／待確認</x:v>
      </x:c>
      <x:c r="C98" s="39"/>
      <x:c r="D98" s="39"/>
      <x:c r="E98" s="26" t="str">
        <x:v>無法計算／待確認</x:v>
      </x:c>
      <x:c r="F98" s="29" t="str">
        <x:v>Required inputs unavailable</x:v>
      </x:c>
      <x:c r="G98" s="29" t="str"/>
    </x:row>
    <x:row r="99" ht="30" customHeight="1">
      <x:c r="A99" s="26" t="str">
        <x:v>interest_coverage:fy_t_minus_2</x:v>
      </x:c>
      <x:c r="B99" s="41" t="str">
        <x:v>無法計算／待確認</x:v>
      </x:c>
      <x:c r="C99" s="39"/>
      <x:c r="D99" s="39"/>
      <x:c r="E99" s="26" t="str">
        <x:v>無法計算／待確認</x:v>
      </x:c>
      <x:c r="F99" s="29" t="str">
        <x:v>Required inputs unavailable</x:v>
      </x:c>
      <x:c r="G99" s="29" t="str"/>
    </x:row>
    <x:row r="100" ht="30" customHeight="1">
      <x:c r="A100" s="26" t="str">
        <x:v>interest_coverage:fy_t_minus_1</x:v>
      </x:c>
      <x:c r="B100" s="41" t="str">
        <x:v>無法計算／待確認</x:v>
      </x:c>
      <x:c r="C100" s="39"/>
      <x:c r="D100" s="39"/>
      <x:c r="E100" s="26" t="str">
        <x:v>無法計算／待確認</x:v>
      </x:c>
      <x:c r="F100" s="29" t="str">
        <x:v>Required inputs unavailable</x:v>
      </x:c>
      <x:c r="G100" s="29" t="str"/>
    </x:row>
    <x:row r="101" ht="30" customHeight="1">
      <x:c r="A101" s="26" t="str">
        <x:v>interest_coverage:fy_t</x:v>
      </x:c>
      <x:c r="B101" s="41" t="str">
        <x:v>無法計算／待確認</x:v>
      </x:c>
      <x:c r="C101" s="39"/>
      <x:c r="D101" s="39"/>
      <x:c r="E101" s="26" t="str">
        <x:v>無法計算／待確認</x:v>
      </x:c>
      <x:c r="F101" s="29" t="str">
        <x:v>Required inputs unavailable</x:v>
      </x:c>
      <x:c r="G101" s="29" t="str"/>
    </x:row>
    <x:row r="102" ht="30" customHeight="1">
      <x:c r="A102" s="26" t="str">
        <x:v>total_debt:fy_t_minus_3</x:v>
      </x:c>
      <x:c r="B102" s="38" t="str">
        <x:v>缺少資料</x:v>
      </x:c>
      <x:c r="C102" s="39"/>
      <x:c r="D102" s="39"/>
      <x:c r="E102" s="26" t="str">
        <x:v>缺少資料</x:v>
      </x:c>
      <x:c r="F102" s="29" t="str">
        <x:v>既有底稿未提供可核實的來源科目／組成；不等於SEC未揭露</x:v>
      </x:c>
      <x:c r="G102" s="29" t="str"/>
    </x:row>
    <x:row r="103" ht="30" customHeight="1">
      <x:c r="A103" s="26" t="str">
        <x:v>total_debt:fy_t_minus_2</x:v>
      </x:c>
      <x:c r="B103" s="38" t="str">
        <x:v>缺少資料</x:v>
      </x:c>
      <x:c r="C103" s="39"/>
      <x:c r="D103" s="39"/>
      <x:c r="E103" s="26" t="str">
        <x:v>缺少資料</x:v>
      </x:c>
      <x:c r="F103" s="29" t="str">
        <x:v>既有底稿未提供可核實的來源科目／組成；不等於SEC未揭露</x:v>
      </x:c>
      <x:c r="G103" s="29" t="str"/>
    </x:row>
    <x:row r="104" ht="30" customHeight="1">
      <x:c r="A104" s="26" t="str">
        <x:v>total_debt:fy_t_minus_1</x:v>
      </x:c>
      <x:c r="B104" s="38" t="str">
        <x:v>缺少資料</x:v>
      </x:c>
      <x:c r="C104" s="39"/>
      <x:c r="D104" s="39"/>
      <x:c r="E104" s="26" t="str">
        <x:v>缺少資料</x:v>
      </x:c>
      <x:c r="F104" s="29" t="str">
        <x:v>既有底稿未提供可核實的來源科目／組成；不等於SEC未揭露</x:v>
      </x:c>
      <x:c r="G104" s="29" t="str"/>
    </x:row>
    <x:row r="105" ht="30" customHeight="1">
      <x:c r="A105" s="26" t="str">
        <x:v>total_debt:fy_t</x:v>
      </x:c>
      <x:c r="B105" s="38" t="str">
        <x:v>缺少資料</x:v>
      </x:c>
      <x:c r="C105" s="39"/>
      <x:c r="D105" s="39"/>
      <x:c r="E105" s="26" t="str">
        <x:v>缺少資料</x:v>
      </x:c>
      <x:c r="F105" s="29" t="str">
        <x:v>既有底稿未提供可核實的來源科目／組成；不等於SEC未揭露</x:v>
      </x:c>
      <x:c r="G105" s="29" t="str"/>
    </x:row>
    <x:row r="106" ht="30" customHeight="1">
      <x:c r="A106" s="26" t="str">
        <x:v>debt_service:fy_t_minus_3</x:v>
      </x:c>
      <x:c r="B106" s="38" t="str">
        <x:v>缺少資料</x:v>
      </x:c>
      <x:c r="C106" s="39"/>
      <x:c r="D106" s="39"/>
      <x:c r="E106" s="26" t="str">
        <x:v>缺少資料</x:v>
      </x:c>
      <x:c r="F106" s="29" t="str">
        <x:v>既有底稿未提供可核實的來源科目／組成；不等於SEC未揭露; Unresolved definitions: DEC-03</x:v>
      </x:c>
      <x:c r="G106" s="29" t="str"/>
    </x:row>
    <x:row r="107" ht="30" customHeight="1">
      <x:c r="A107" s="26" t="str">
        <x:v>debt_service:fy_t_minus_2</x:v>
      </x:c>
      <x:c r="B107" s="38" t="str">
        <x:v>缺少資料</x:v>
      </x:c>
      <x:c r="C107" s="39"/>
      <x:c r="D107" s="39"/>
      <x:c r="E107" s="26" t="str">
        <x:v>缺少資料</x:v>
      </x:c>
      <x:c r="F107" s="29" t="str">
        <x:v>既有底稿未提供可核實的來源科目／組成；不等於SEC未揭露; Unresolved definitions: DEC-03</x:v>
      </x:c>
      <x:c r="G107" s="29" t="str"/>
    </x:row>
    <x:row r="108" ht="30" customHeight="1">
      <x:c r="A108" s="26" t="str">
        <x:v>debt_service:fy_t_minus_1</x:v>
      </x:c>
      <x:c r="B108" s="38" t="str">
        <x:v>缺少資料</x:v>
      </x:c>
      <x:c r="C108" s="39"/>
      <x:c r="D108" s="39"/>
      <x:c r="E108" s="26" t="str">
        <x:v>缺少資料</x:v>
      </x:c>
      <x:c r="F108" s="29" t="str">
        <x:v>既有底稿未提供可核實的來源科目／組成；不等於SEC未揭露; Unresolved definitions: DEC-03</x:v>
      </x:c>
      <x:c r="G108" s="29" t="str"/>
    </x:row>
    <x:row r="109" ht="30" customHeight="1">
      <x:c r="A109" s="26" t="str">
        <x:v>debt_service:fy_t</x:v>
      </x:c>
      <x:c r="B109" s="38" t="str">
        <x:v>缺少資料</x:v>
      </x:c>
      <x:c r="C109" s="39"/>
      <x:c r="D109" s="39"/>
      <x:c r="E109" s="26" t="str">
        <x:v>缺少資料</x:v>
      </x:c>
      <x:c r="F109" s="29" t="str">
        <x:v>既有底稿未提供可核實的來源科目／組成；不等於SEC未揭露; Unresolved definitions: DEC-03</x:v>
      </x:c>
      <x:c r="G109" s="29" t="str"/>
    </x:row>
    <x:row r="110" ht="30" customHeight="1">
      <x:c r="A110" s="26" t="str">
        <x:v>ltm_ebitda:fy_t_minus_3</x:v>
      </x:c>
      <x:c r="B110" s="38" t="str">
        <x:v>無法計算／待確認</x:v>
      </x:c>
      <x:c r="C110" s="39"/>
      <x:c r="D110" s="39"/>
      <x:c r="E110" s="26" t="str">
        <x:v>無法計算／待確認</x:v>
      </x:c>
      <x:c r="F110" s="29" t="str">
        <x:v>Verified Standard EBITDA basis required</x:v>
      </x:c>
      <x:c r="G110" s="29" t="str"/>
    </x:row>
    <x:row r="111" ht="30" customHeight="1">
      <x:c r="A111" s="26" t="str">
        <x:v>ltm_ebitda:fy_t_minus_2</x:v>
      </x:c>
      <x:c r="B111" s="38" t="str">
        <x:v>無法計算／待確認</x:v>
      </x:c>
      <x:c r="C111" s="39"/>
      <x:c r="D111" s="39"/>
      <x:c r="E111" s="26" t="str">
        <x:v>無法計算／待確認</x:v>
      </x:c>
      <x:c r="F111" s="29" t="str">
        <x:v>Verified Standard EBITDA basis required</x:v>
      </x:c>
      <x:c r="G111" s="29" t="str"/>
    </x:row>
    <x:row r="112" ht="30" customHeight="1">
      <x:c r="A112" s="26" t="str">
        <x:v>ltm_ebitda:fy_t_minus_1</x:v>
      </x:c>
      <x:c r="B112" s="38" t="str">
        <x:v>無法計算／待確認</x:v>
      </x:c>
      <x:c r="C112" s="39"/>
      <x:c r="D112" s="39"/>
      <x:c r="E112" s="26" t="str">
        <x:v>無法計算／待確認</x:v>
      </x:c>
      <x:c r="F112" s="29" t="str">
        <x:v>Verified Standard EBITDA basis required</x:v>
      </x:c>
      <x:c r="G112" s="29" t="str"/>
    </x:row>
    <x:row r="113" ht="30" customHeight="1">
      <x:c r="A113" s="26" t="str">
        <x:v>ltm_ebitda:fy_t</x:v>
      </x:c>
      <x:c r="B113" s="38" t="str">
        <x:v>無法計算／待確認</x:v>
      </x:c>
      <x:c r="C113" s="39"/>
      <x:c r="D113" s="39"/>
      <x:c r="E113" s="26" t="str">
        <x:v>無法計算／待確認</x:v>
      </x:c>
      <x:c r="F113" s="29" t="str">
        <x:v>Verified Standard EBITDA basis required</x:v>
      </x:c>
      <x:c r="G113" s="29" t="str"/>
    </x:row>
    <x:row r="114" ht="30" customHeight="1">
      <x:c r="A114" s="26" t="str">
        <x:v>ebitda_basis:fy_t_minus_3</x:v>
      </x:c>
      <x:c r="B114" s="38" t="str">
        <x:v>缺少資料</x:v>
      </x:c>
      <x:c r="C114" s="39"/>
      <x:c r="D114" s="39"/>
      <x:c r="E114" s="26" t="str">
        <x:v>缺少資料</x:v>
      </x:c>
      <x:c r="F114" s="29" t="str">
        <x:v>既有底稿未提供可核實的來源科目／組成；不等於SEC未揭露</x:v>
      </x:c>
      <x:c r="G114" s="29" t="str"/>
    </x:row>
    <x:row r="115" ht="30" customHeight="1">
      <x:c r="A115" s="26" t="str">
        <x:v>ebitda_basis:fy_t_minus_2</x:v>
      </x:c>
      <x:c r="B115" s="38" t="str">
        <x:v>缺少資料</x:v>
      </x:c>
      <x:c r="C115" s="39"/>
      <x:c r="D115" s="39"/>
      <x:c r="E115" s="26" t="str">
        <x:v>缺少資料</x:v>
      </x:c>
      <x:c r="F115" s="29" t="str">
        <x:v>既有底稿未提供可核實的來源科目／組成；不等於SEC未揭露</x:v>
      </x:c>
      <x:c r="G115" s="29" t="str"/>
    </x:row>
    <x:row r="116" ht="30" customHeight="1">
      <x:c r="A116" s="26" t="str">
        <x:v>ebitda_basis:fy_t_minus_1</x:v>
      </x:c>
      <x:c r="B116" s="38" t="str">
        <x:v>缺少資料</x:v>
      </x:c>
      <x:c r="C116" s="39"/>
      <x:c r="D116" s="39"/>
      <x:c r="E116" s="26" t="str">
        <x:v>缺少資料</x:v>
      </x:c>
      <x:c r="F116" s="29" t="str">
        <x:v>既有底稿未提供可核實的來源科目／組成；不等於SEC未揭露</x:v>
      </x:c>
      <x:c r="G116" s="29" t="str"/>
    </x:row>
    <x:row r="117" ht="30" customHeight="1">
      <x:c r="A117" s="26" t="str">
        <x:v>ebitda_basis:fy_t</x:v>
      </x:c>
      <x:c r="B117" s="38" t="str">
        <x:v>缺少資料</x:v>
      </x:c>
      <x:c r="C117" s="39"/>
      <x:c r="D117" s="39"/>
      <x:c r="E117" s="26" t="str">
        <x:v>缺少資料</x:v>
      </x:c>
      <x:c r="F117" s="29" t="str">
        <x:v>既有底稿未提供可核實的來源科目／組成；不等於SEC未揭露</x:v>
      </x:c>
      <x:c r="G117" s="29" t="str"/>
    </x:row>
    <x:row r="118" ht="30" customHeight="1">
      <x:c r="A118" s="26" t="str">
        <x:v>total_leverage:fy_t_minus_3</x:v>
      </x:c>
      <x:c r="B118" s="41" t="str">
        <x:v>無法計算／待確認</x:v>
      </x:c>
      <x:c r="C118" s="39"/>
      <x:c r="D118" s="39"/>
      <x:c r="E118" s="26" t="str">
        <x:v>無法計算／待確認</x:v>
      </x:c>
      <x:c r="F118" s="29" t="str">
        <x:v>Required inputs unavailable</x:v>
      </x:c>
      <x:c r="G118" s="29" t="str"/>
    </x:row>
    <x:row r="119" ht="30" customHeight="1">
      <x:c r="A119" s="26" t="str">
        <x:v>total_leverage:fy_t_minus_2</x:v>
      </x:c>
      <x:c r="B119" s="41" t="str">
        <x:v>無法計算／待確認</x:v>
      </x:c>
      <x:c r="C119" s="39"/>
      <x:c r="D119" s="39"/>
      <x:c r="E119" s="26" t="str">
        <x:v>無法計算／待確認</x:v>
      </x:c>
      <x:c r="F119" s="29" t="str">
        <x:v>Required inputs unavailable</x:v>
      </x:c>
      <x:c r="G119" s="29" t="str"/>
    </x:row>
    <x:row r="120" ht="30" customHeight="1">
      <x:c r="A120" s="26" t="str">
        <x:v>total_leverage:fy_t_minus_1</x:v>
      </x:c>
      <x:c r="B120" s="41" t="str">
        <x:v>無法計算／待確認</x:v>
      </x:c>
      <x:c r="C120" s="39"/>
      <x:c r="D120" s="39"/>
      <x:c r="E120" s="26" t="str">
        <x:v>無法計算／待確認</x:v>
      </x:c>
      <x:c r="F120" s="29" t="str">
        <x:v>Required inputs unavailable</x:v>
      </x:c>
      <x:c r="G120" s="29" t="str"/>
    </x:row>
    <x:row r="121" ht="30" customHeight="1">
      <x:c r="A121" s="26" t="str">
        <x:v>total_leverage:fy_t</x:v>
      </x:c>
      <x:c r="B121" s="41" t="str">
        <x:v>無法計算／待確認</x:v>
      </x:c>
      <x:c r="C121" s="39"/>
      <x:c r="D121" s="39"/>
      <x:c r="E121" s="26" t="str">
        <x:v>無法計算／待確認</x:v>
      </x:c>
      <x:c r="F121" s="29" t="str">
        <x:v>Required inputs unavailable</x:v>
      </x:c>
      <x:c r="G121" s="29" t="str"/>
    </x:row>
    <x:row r="122" ht="30" customHeight="1">
      <x:c r="A122" s="26" t="str">
        <x:v>ebitda_interest:fy_t_minus_3</x:v>
      </x:c>
      <x:c r="B122" s="41" t="str">
        <x:v>無法計算／待確認</x:v>
      </x:c>
      <x:c r="C122" s="39"/>
      <x:c r="D122" s="39"/>
      <x:c r="E122" s="26" t="str">
        <x:v>無法計算／待確認</x:v>
      </x:c>
      <x:c r="F122" s="29" t="str">
        <x:v>Required inputs unavailable</x:v>
      </x:c>
      <x:c r="G122" s="29" t="str"/>
    </x:row>
    <x:row r="123" ht="30" customHeight="1">
      <x:c r="A123" s="26" t="str">
        <x:v>ebitda_interest:fy_t_minus_2</x:v>
      </x:c>
      <x:c r="B123" s="41" t="str">
        <x:v>無法計算／待確認</x:v>
      </x:c>
      <x:c r="C123" s="39"/>
      <x:c r="D123" s="39"/>
      <x:c r="E123" s="26" t="str">
        <x:v>無法計算／待確認</x:v>
      </x:c>
      <x:c r="F123" s="29" t="str">
        <x:v>Required inputs unavailable</x:v>
      </x:c>
      <x:c r="G123" s="29" t="str"/>
    </x:row>
    <x:row r="124" ht="30" customHeight="1">
      <x:c r="A124" s="26" t="str">
        <x:v>ebitda_interest:fy_t_minus_1</x:v>
      </x:c>
      <x:c r="B124" s="41" t="str">
        <x:v>無法計算／待確認</x:v>
      </x:c>
      <x:c r="C124" s="39"/>
      <x:c r="D124" s="39"/>
      <x:c r="E124" s="26" t="str">
        <x:v>無法計算／待確認</x:v>
      </x:c>
      <x:c r="F124" s="29" t="str">
        <x:v>Required inputs unavailable</x:v>
      </x:c>
      <x:c r="G124" s="29" t="str"/>
    </x:row>
    <x:row r="125" ht="30" customHeight="1">
      <x:c r="A125" s="26" t="str">
        <x:v>ebitda_interest:fy_t</x:v>
      </x:c>
      <x:c r="B125" s="41" t="str">
        <x:v>無法計算／待確認</x:v>
      </x:c>
      <x:c r="C125" s="39"/>
      <x:c r="D125" s="39"/>
      <x:c r="E125" s="26" t="str">
        <x:v>無法計算／待確認</x:v>
      </x:c>
      <x:c r="F125" s="29" t="str">
        <x:v>Required inputs unavailable</x:v>
      </x:c>
      <x:c r="G125" s="29" t="str"/>
    </x:row>
    <x:row r="126" ht="30" customHeight="1">
      <x:c r="A126" s="26" t="str">
        <x:v>dscr:fy_t_minus_3</x:v>
      </x:c>
      <x:c r="B126" s="41" t="str">
        <x:v>缺少資料</x:v>
      </x:c>
      <x:c r="C126" s="39"/>
      <x:c r="D126" s="39"/>
      <x:c r="E126" s="26" t="str">
        <x:v>缺少資料</x:v>
      </x:c>
      <x:c r="F126" s="29" t="str">
        <x:v>既有底稿未提供可核實的來源科目／組成；不等於SEC未揭露; Unresolved definitions: DEC-03</x:v>
      </x:c>
      <x:c r="G126" s="29" t="str"/>
    </x:row>
    <x:row r="127" ht="30" customHeight="1">
      <x:c r="A127" s="26" t="str">
        <x:v>dscr:fy_t_minus_2</x:v>
      </x:c>
      <x:c r="B127" s="41" t="str">
        <x:v>缺少資料</x:v>
      </x:c>
      <x:c r="C127" s="39"/>
      <x:c r="D127" s="39"/>
      <x:c r="E127" s="26" t="str">
        <x:v>缺少資料</x:v>
      </x:c>
      <x:c r="F127" s="29" t="str">
        <x:v>既有底稿未提供可核實的來源科目／組成；不等於SEC未揭露; Unresolved definitions: DEC-03</x:v>
      </x:c>
      <x:c r="G127" s="29" t="str"/>
    </x:row>
    <x:row r="128" ht="30" customHeight="1">
      <x:c r="A128" s="26" t="str">
        <x:v>dscr:fy_t_minus_1</x:v>
      </x:c>
      <x:c r="B128" s="41" t="str">
        <x:v>缺少資料</x:v>
      </x:c>
      <x:c r="C128" s="39"/>
      <x:c r="D128" s="39"/>
      <x:c r="E128" s="26" t="str">
        <x:v>缺少資料</x:v>
      </x:c>
      <x:c r="F128" s="29" t="str">
        <x:v>既有底稿未提供可核實的來源科目／組成；不等於SEC未揭露; Unresolved definitions: DEC-03</x:v>
      </x:c>
      <x:c r="G128" s="29" t="str"/>
    </x:row>
    <x:row r="129" ht="30" customHeight="1">
      <x:c r="A129" s="26" t="str">
        <x:v>dscr:fy_t</x:v>
      </x:c>
      <x:c r="B129" s="41" t="str">
        <x:v>缺少資料</x:v>
      </x:c>
      <x:c r="C129" s="39"/>
      <x:c r="D129" s="39"/>
      <x:c r="E129" s="26" t="str">
        <x:v>缺少資料</x:v>
      </x:c>
      <x:c r="F129" s="29" t="str">
        <x:v>既有底稿未提供可核實的來源科目／組成；不等於SEC未揭露; Unresolved definitions: DEC-03</x:v>
      </x:c>
      <x:c r="G129" s="29" t="str"/>
    </x:row>
    <x:row r="130" ht="30" customHeight="1">
      <x:c r="A130" s="26" t="str">
        <x:v>input:current_assets:fy_t_minus_3</x:v>
      </x:c>
      <x:c r="B130" s="38" t="n">
        <x:f>IF(AND(ISNUMBER(C130),ISNUMBER(D130)),C130*D130/1000000,"缺少資料")</x:f>
        <x:v>1614.5</x:v>
      </x:c>
      <x:c r="C130" s="39" t="n">
        <x:v>1614500</x:v>
      </x:c>
      <x:c r="D130" s="39" t="n">
        <x:v>1000</x:v>
      </x:c>
      <x:c r="E130" s="26" t="str">
        <x:v>sourced</x:v>
      </x:c>
      <x:c r="F130" s="29" t="str">
        <x:v>Current Assets</x:v>
      </x:c>
      <x:c r="G130" s="29" t="str">
        <x:v>/Users/yuntzuyu/Downloads/e-loan/Year/E-loan YYYY_Nexstar 2025.xls#Report1!D10; label=A10; dates=D6,D76; unit=O4</x:v>
      </x:c>
    </x:row>
    <x:row r="131" ht="30" customHeight="1">
      <x:c r="A131" s="26" t="str">
        <x:v>input:current_liabilities:fy_t_minus_3</x:v>
      </x:c>
      <x:c r="B131" s="38" t="n">
        <x:f>IF(AND(ISNUMBER(C131),ISNUMBER(D131)),C131*D131/1000000,"缺少資料")</x:f>
        <x:v>893.2</x:v>
      </x:c>
      <x:c r="C131" s="39" t="n">
        <x:v>893200</x:v>
      </x:c>
      <x:c r="D131" s="39" t="n">
        <x:v>1000</x:v>
      </x:c>
      <x:c r="E131" s="26" t="str">
        <x:v>sourced</x:v>
      </x:c>
      <x:c r="F131" s="29" t="str">
        <x:v>Current Liabilities</x:v>
      </x:c>
      <x:c r="G131" s="29" t="str">
        <x:v>/Users/yuntzuyu/Downloads/e-loan/Year/E-loan YYYY_Nexstar 2025.xls#Report1!D40; label=A40; dates=D6,D76; unit=O4</x:v>
      </x:c>
    </x:row>
    <x:row r="132" ht="30" customHeight="1">
      <x:c r="A132" s="26" t="str">
        <x:v>input:total_liabilities:fy_t_minus_3</x:v>
      </x:c>
      <x:c r="B132" s="38" t="n">
        <x:f>IF(AND(ISNUMBER(C132),ISNUMBER(D132)),C132*D132/1000000,"缺少資料")</x:f>
        <x:v>9909.6</x:v>
      </x:c>
      <x:c r="C132" s="39" t="n">
        <x:v>9909600</x:v>
      </x:c>
      <x:c r="D132" s="39" t="n">
        <x:v>1000</x:v>
      </x:c>
      <x:c r="E132" s="26" t="str">
        <x:v>sourced</x:v>
      </x:c>
      <x:c r="F132" s="29" t="str">
        <x:v>Total Liabilities</x:v>
      </x:c>
      <x:c r="G132" s="29" t="str">
        <x:v>/Users/yuntzuyu/Downloads/e-loan/Year/E-loan YYYY_Nexstar 2025.xls#Report1!D62; label=A62; dates=D6,D76; unit=O4</x:v>
      </x:c>
    </x:row>
    <x:row r="133" ht="30" customHeight="1">
      <x:c r="A133" s="26" t="str">
        <x:v>input:quick_assets:fy_t_minus_3</x:v>
      </x:c>
      <x:c r="B133" s="38" t="str">
        <x:v>缺少資料</x:v>
      </x:c>
      <x:c r="C133" s="39"/>
      <x:c r="D133" s="39"/>
      <x:c r="E133" s="26" t="str">
        <x:v>缺少資料</x:v>
      </x:c>
      <x:c r="F133" s="29" t="str">
        <x:v>既有底稿未提供可核實的來源科目／組成；不等於SEC未揭露</x:v>
      </x:c>
      <x:c r="G133" s="29" t="str"/>
    </x:row>
    <x:row r="134" ht="30" customHeight="1">
      <x:c r="A134" s="26" t="str">
        <x:v>input:net_worth:fy_t_minus_3</x:v>
      </x:c>
      <x:c r="B134" s="38" t="str">
        <x:v>無法計算／待確認</x:v>
      </x:c>
      <x:c r="C134" s="39"/>
      <x:c r="D134" s="39"/>
      <x:c r="E134" s="26" t="str">
        <x:v>無法計算／待確認</x:v>
      </x:c>
      <x:c r="F134" s="29" t="str">
        <x:v>Approved policy; company-specific source definition not yet verified; candidate retained</x:v>
      </x:c>
      <x:c r="G134" s="29" t="str">
        <x:v>/Users/yuntzuyu/Downloads/e-loan/Year/E-loan YYYY_Nexstar 2025.xls#Report1!D70; label=A70; dates=D6,D76; unit=O4</x:v>
      </x:c>
    </x:row>
    <x:row r="135" ht="30" customHeight="1">
      <x:c r="A135" s="26" t="str">
        <x:v>input:capitalized_interest:fy_t_minus_3</x:v>
      </x:c>
      <x:c r="B135" s="38" t="str">
        <x:v>缺少資料</x:v>
      </x:c>
      <x:c r="C135" s="39"/>
      <x:c r="D135" s="39"/>
      <x:c r="E135" s="26" t="str">
        <x:v>缺少資料</x:v>
      </x:c>
      <x:c r="F135" s="29" t="str">
        <x:v>原始儲存格空白／無可用數值</x:v>
      </x:c>
      <x:c r="G135" s="29" t="str">
        <x:v>/Users/yuntzuyu/Downloads/e-loan/Year/E-loan YYYY_Nexstar 2025.xls#Report1!D120; label=A120; dates=D6,D76; unit=O4</x:v>
      </x:c>
    </x:row>
    <x:row r="136" ht="30" customHeight="1">
      <x:c r="A136" s="26" t="str">
        <x:v>input:da:fy_t_minus_3</x:v>
      </x:c>
      <x:c r="B136" s="38" t="n">
        <x:f>IF(AND(ISNUMBER(C136),ISNUMBER(D136)),C136*D136/1000000,"缺少資料")</x:f>
        <x:v>662.1</x:v>
      </x:c>
      <x:c r="C136" s="39" t="n">
        <x:v>662100</x:v>
      </x:c>
      <x:c r="D136" s="39" t="n">
        <x:v>1000</x:v>
      </x:c>
      <x:c r="E136" s="26" t="str">
        <x:v>sourced</x:v>
      </x:c>
      <x:c r="F136" s="29" t="str">
        <x:v>Depreciation &amp; Amortization</x:v>
      </x:c>
      <x:c r="G136" s="29" t="str">
        <x:v>/Users/yuntzuyu/Downloads/e-loan/Year/E-loan YYYY_Nexstar 2025.xls#Report1!D121; label=A121; dates=D6,D76; unit=O4</x:v>
      </x:c>
    </x:row>
    <x:row r="137" ht="30" customHeight="1">
      <x:c r="A137" s="26" t="str">
        <x:v>input:current_assets:fy_t_minus_2</x:v>
      </x:c>
      <x:c r="B137" s="38" t="n">
        <x:f>IF(AND(ISNUMBER(C137),ISNUMBER(D137)),C137*D137/1000000,"缺少資料")</x:f>
        <x:v>1466</x:v>
      </x:c>
      <x:c r="C137" s="39" t="n">
        <x:v>1466000</x:v>
      </x:c>
      <x:c r="D137" s="39" t="n">
        <x:v>1000</x:v>
      </x:c>
      <x:c r="E137" s="26" t="str">
        <x:v>sourced</x:v>
      </x:c>
      <x:c r="F137" s="29" t="str">
        <x:v>Current Assets</x:v>
      </x:c>
      <x:c r="G137" s="29" t="str">
        <x:v>/Users/yuntzuyu/Downloads/e-loan/Year/E-loan YYYY_Nexstar 2025.xls#Report1!I10; label=A10; dates=I6,I76; unit=O4</x:v>
      </x:c>
    </x:row>
    <x:row r="138" ht="30" customHeight="1">
      <x:c r="A138" s="26" t="str">
        <x:v>input:current_liabilities:fy_t_minus_2</x:v>
      </x:c>
      <x:c r="B138" s="38" t="n">
        <x:f>IF(AND(ISNUMBER(C138),ISNUMBER(D138)),C138*D138/1000000,"缺少資料")</x:f>
        <x:v>961</x:v>
      </x:c>
      <x:c r="C138" s="39" t="n">
        <x:v>961000</x:v>
      </x:c>
      <x:c r="D138" s="39" t="n">
        <x:v>1000</x:v>
      </x:c>
      <x:c r="E138" s="26" t="str">
        <x:v>sourced</x:v>
      </x:c>
      <x:c r="F138" s="29" t="str">
        <x:v>Current Liabilities</x:v>
      </x:c>
      <x:c r="G138" s="29" t="str">
        <x:v>/Users/yuntzuyu/Downloads/e-loan/Year/E-loan YYYY_Nexstar 2025.xls#Report1!I40; label=A40; dates=I6,I76; unit=O4</x:v>
      </x:c>
    </x:row>
    <x:row r="139" ht="30" customHeight="1">
      <x:c r="A139" s="26" t="str">
        <x:v>input:total_liabilities:fy_t_minus_2</x:v>
      </x:c>
      <x:c r="B139" s="38" t="n">
        <x:f>IF(AND(ISNUMBER(C139),ISNUMBER(D139)),C139*D139/1000000,"缺少資料")</x:f>
        <x:v>9765</x:v>
      </x:c>
      <x:c r="C139" s="39" t="n">
        <x:v>9765000</x:v>
      </x:c>
      <x:c r="D139" s="39" t="n">
        <x:v>1000</x:v>
      </x:c>
      <x:c r="E139" s="26" t="str">
        <x:v>sourced</x:v>
      </x:c>
      <x:c r="F139" s="29" t="str">
        <x:v>Total Liabilities</x:v>
      </x:c>
      <x:c r="G139" s="29" t="str">
        <x:v>/Users/yuntzuyu/Downloads/e-loan/Year/E-loan YYYY_Nexstar 2025.xls#Report1!I62; label=A62; dates=I6,I76; unit=O4</x:v>
      </x:c>
    </x:row>
    <x:row r="140" ht="30" customHeight="1">
      <x:c r="A140" s="26" t="str">
        <x:v>input:quick_assets:fy_t_minus_2</x:v>
      </x:c>
      <x:c r="B140" s="38" t="str">
        <x:v>缺少資料</x:v>
      </x:c>
      <x:c r="C140" s="39"/>
      <x:c r="D140" s="39"/>
      <x:c r="E140" s="26" t="str">
        <x:v>缺少資料</x:v>
      </x:c>
      <x:c r="F140" s="29" t="str">
        <x:v>既有底稿未提供可核實的來源科目／組成；不等於SEC未揭露</x:v>
      </x:c>
      <x:c r="G140" s="29" t="str"/>
    </x:row>
    <x:row r="141" ht="30" customHeight="1">
      <x:c r="A141" s="26" t="str">
        <x:v>input:net_worth:fy_t_minus_2</x:v>
      </x:c>
      <x:c r="B141" s="38" t="str">
        <x:v>無法計算／待確認</x:v>
      </x:c>
      <x:c r="C141" s="39"/>
      <x:c r="D141" s="39"/>
      <x:c r="E141" s="26" t="str">
        <x:v>無法計算／待確認</x:v>
      </x:c>
      <x:c r="F141" s="29" t="str">
        <x:v>Approved policy; company-specific source definition not yet verified; candidate retained</x:v>
      </x:c>
      <x:c r="G141" s="29" t="str">
        <x:v>/Users/yuntzuyu/Downloads/e-loan/Year/E-loan YYYY_Nexstar 2025.xls#Report1!I70; label=A70; dates=I6,I76; unit=O4</x:v>
      </x:c>
    </x:row>
    <x:row r="142" ht="30" customHeight="1">
      <x:c r="A142" s="26" t="str">
        <x:v>input:capitalized_interest:fy_t_minus_2</x:v>
      </x:c>
      <x:c r="B142" s="38" t="str">
        <x:v>缺少資料</x:v>
      </x:c>
      <x:c r="C142" s="39"/>
      <x:c r="D142" s="39"/>
      <x:c r="E142" s="26" t="str">
        <x:v>缺少資料</x:v>
      </x:c>
      <x:c r="F142" s="29" t="str">
        <x:v>原始儲存格空白／無可用數值</x:v>
      </x:c>
      <x:c r="G142" s="29" t="str">
        <x:v>/Users/yuntzuyu/Downloads/e-loan/Year/E-loan YYYY_Nexstar 2025.xls#Report1!I120; label=A120; dates=I6,I76; unit=O4</x:v>
      </x:c>
    </x:row>
    <x:row r="143" ht="30" customHeight="1">
      <x:c r="A143" s="26" t="str">
        <x:v>input:da:fy_t_minus_2</x:v>
      </x:c>
      <x:c r="B143" s="38" t="n">
        <x:f>IF(AND(ISNUMBER(C143),ISNUMBER(D143)),C143*D143/1000000,"缺少資料")</x:f>
        <x:v>941</x:v>
      </x:c>
      <x:c r="C143" s="39" t="n">
        <x:v>941000</x:v>
      </x:c>
      <x:c r="D143" s="39" t="n">
        <x:v>1000</x:v>
      </x:c>
      <x:c r="E143" s="26" t="str">
        <x:v>sourced</x:v>
      </x:c>
      <x:c r="F143" s="29" t="str">
        <x:v>Depreciation &amp; Amortization</x:v>
      </x:c>
      <x:c r="G143" s="29" t="str">
        <x:v>/Users/yuntzuyu/Downloads/e-loan/Year/E-loan YYYY_Nexstar 2025.xls#Report1!I121; label=A121; dates=I6,I76; unit=O4</x:v>
      </x:c>
    </x:row>
    <x:row r="144" ht="30" customHeight="1">
      <x:c r="A144" s="26" t="str">
        <x:v>input:current_assets:fy_t_minus_1</x:v>
      </x:c>
      <x:c r="B144" s="38" t="n">
        <x:f>IF(AND(ISNUMBER(C144),ISNUMBER(D144)),C144*D144/1000000,"缺少資料")</x:f>
        <x:v>1297</x:v>
      </x:c>
      <x:c r="C144" s="39" t="n">
        <x:v>1297000</x:v>
      </x:c>
      <x:c r="D144" s="39" t="n">
        <x:v>1000</x:v>
      </x:c>
      <x:c r="E144" s="26" t="str">
        <x:v>sourced</x:v>
      </x:c>
      <x:c r="F144" s="29" t="str">
        <x:v>Current Assets</x:v>
      </x:c>
      <x:c r="G144" s="29" t="str">
        <x:v>/Users/yuntzuyu/Downloads/e-loan/Year/E-loan YYYY_Nexstar 2025.xls#Report1!M10; label=A10; dates=M6,M76; unit=O4</x:v>
      </x:c>
    </x:row>
    <x:row r="145" ht="30" customHeight="1">
      <x:c r="A145" s="26" t="str">
        <x:v>input:current_liabilities:fy_t_minus_1</x:v>
      </x:c>
      <x:c r="B145" s="38" t="n">
        <x:f>IF(AND(ISNUMBER(C145),ISNUMBER(D145)),C145*D145/1000000,"缺少資料")</x:f>
        <x:v>783</x:v>
      </x:c>
      <x:c r="C145" s="39" t="n">
        <x:v>783000</x:v>
      </x:c>
      <x:c r="D145" s="39" t="n">
        <x:v>1000</x:v>
      </x:c>
      <x:c r="E145" s="26" t="str">
        <x:v>sourced</x:v>
      </x:c>
      <x:c r="F145" s="29" t="str">
        <x:v>Current Liabilities</x:v>
      </x:c>
      <x:c r="G145" s="29" t="str">
        <x:v>/Users/yuntzuyu/Downloads/e-loan/Year/E-loan YYYY_Nexstar 2025.xls#Report1!M40; label=A40; dates=M6,M76; unit=O4</x:v>
      </x:c>
    </x:row>
    <x:row r="146" ht="30" customHeight="1">
      <x:c r="A146" s="26" t="str">
        <x:v>input:total_liabilities:fy_t_minus_1</x:v>
      </x:c>
      <x:c r="B146" s="38" t="n">
        <x:f>IF(AND(ISNUMBER(C146),ISNUMBER(D146)),C146*D146/1000000,"缺少資料")</x:f>
        <x:v>9200</x:v>
      </x:c>
      <x:c r="C146" s="39" t="n">
        <x:v>9200000</x:v>
      </x:c>
      <x:c r="D146" s="39" t="n">
        <x:v>1000</x:v>
      </x:c>
      <x:c r="E146" s="26" t="str">
        <x:v>sourced</x:v>
      </x:c>
      <x:c r="F146" s="29" t="str">
        <x:v>Total Liabilities</x:v>
      </x:c>
      <x:c r="G146" s="29" t="str">
        <x:v>/Users/yuntzuyu/Downloads/e-loan/Year/E-loan YYYY_Nexstar 2025.xls#Report1!M62; label=A62; dates=M6,M76; unit=O4</x:v>
      </x:c>
    </x:row>
    <x:row r="147" ht="30" customHeight="1">
      <x:c r="A147" s="26" t="str">
        <x:v>input:quick_assets:fy_t_minus_1</x:v>
      </x:c>
      <x:c r="B147" s="38" t="str">
        <x:v>缺少資料</x:v>
      </x:c>
      <x:c r="C147" s="39"/>
      <x:c r="D147" s="39"/>
      <x:c r="E147" s="26" t="str">
        <x:v>缺少資料</x:v>
      </x:c>
      <x:c r="F147" s="29" t="str">
        <x:v>既有底稿未提供可核實的來源科目／組成；不等於SEC未揭露</x:v>
      </x:c>
      <x:c r="G147" s="29" t="str"/>
    </x:row>
    <x:row r="148" ht="30" customHeight="1">
      <x:c r="A148" s="26" t="str">
        <x:v>input:net_worth:fy_t_minus_1</x:v>
      </x:c>
      <x:c r="B148" s="38" t="str">
        <x:v>無法計算／待確認</x:v>
      </x:c>
      <x:c r="C148" s="39"/>
      <x:c r="D148" s="39"/>
      <x:c r="E148" s="26" t="str">
        <x:v>無法計算／待確認</x:v>
      </x:c>
      <x:c r="F148" s="29" t="str">
        <x:v>Approved policy; company-specific source definition not yet verified; candidate retained</x:v>
      </x:c>
      <x:c r="G148" s="29" t="str">
        <x:v>/Users/yuntzuyu/Downloads/e-loan/Year/E-loan YYYY_Nexstar 2025.xls#Report1!M70; label=A70; dates=M6,M76; unit=O4</x:v>
      </x:c>
    </x:row>
    <x:row r="149" ht="30" customHeight="1">
      <x:c r="A149" s="26" t="str">
        <x:v>input:capitalized_interest:fy_t_minus_1</x:v>
      </x:c>
      <x:c r="B149" s="38" t="str">
        <x:v>缺少資料</x:v>
      </x:c>
      <x:c r="C149" s="39"/>
      <x:c r="D149" s="39"/>
      <x:c r="E149" s="26" t="str">
        <x:v>缺少資料</x:v>
      </x:c>
      <x:c r="F149" s="29" t="str">
        <x:v>原始儲存格空白／無可用數值</x:v>
      </x:c>
      <x:c r="G149" s="29" t="str">
        <x:v>/Users/yuntzuyu/Downloads/e-loan/Year/E-loan YYYY_Nexstar 2025.xls#Report1!M120; label=A120; dates=M6,M76; unit=O4</x:v>
      </x:c>
    </x:row>
    <x:row r="150" ht="30" customHeight="1">
      <x:c r="A150" s="26" t="str">
        <x:v>input:da:fy_t_minus_1</x:v>
      </x:c>
      <x:c r="B150" s="38" t="n">
        <x:f>IF(AND(ISNUMBER(C150),ISNUMBER(D150)),C150*D150/1000000,"缺少資料")</x:f>
        <x:v>808</x:v>
      </x:c>
      <x:c r="C150" s="39" t="n">
        <x:v>808000</x:v>
      </x:c>
      <x:c r="D150" s="39" t="n">
        <x:v>1000</x:v>
      </x:c>
      <x:c r="E150" s="26" t="str">
        <x:v>sourced</x:v>
      </x:c>
      <x:c r="F150" s="29" t="str">
        <x:v>Depreciation &amp; Amortization</x:v>
      </x:c>
      <x:c r="G150" s="29" t="str">
        <x:v>/Users/yuntzuyu/Downloads/e-loan/Year/E-loan YYYY_Nexstar 2025.xls#Report1!M121; label=A121; dates=M6,M76; unit=O4</x:v>
      </x:c>
    </x:row>
    <x:row r="151" ht="30" customHeight="1">
      <x:c r="A151" s="26" t="str">
        <x:v>input:current_assets:fy_t</x:v>
      </x:c>
      <x:c r="B151" s="38" t="n">
        <x:f>IF(AND(ISNUMBER(C151),ISNUMBER(D151)),C151*D151/1000000,"缺少資料")</x:f>
        <x:v>1473</x:v>
      </x:c>
      <x:c r="C151" s="39" t="n">
        <x:v>1473000</x:v>
      </x:c>
      <x:c r="D151" s="39" t="n">
        <x:v>1000</x:v>
      </x:c>
      <x:c r="E151" s="26" t="str">
        <x:v>sourced</x:v>
      </x:c>
      <x:c r="F151" s="29" t="str">
        <x:v>Current Assets</x:v>
      </x:c>
      <x:c r="G151" s="29" t="str">
        <x:v>/Users/yuntzuyu/Downloads/e-loan/Year/E-loan YYYY_Nexstar 2025.xls#Report1!R10; label=A10; dates=R6,R76; unit=O4</x:v>
      </x:c>
    </x:row>
    <x:row r="152" ht="30" customHeight="1">
      <x:c r="A152" s="26" t="str">
        <x:v>input:current_liabilities:fy_t</x:v>
      </x:c>
      <x:c r="B152" s="38" t="n">
        <x:f>IF(AND(ISNUMBER(C152),ISNUMBER(D152)),C152*D152/1000000,"缺少資料")</x:f>
        <x:v>711</x:v>
      </x:c>
      <x:c r="C152" s="39" t="n">
        <x:v>711000</x:v>
      </x:c>
      <x:c r="D152" s="39" t="n">
        <x:v>1000</x:v>
      </x:c>
      <x:c r="E152" s="26" t="str">
        <x:v>sourced</x:v>
      </x:c>
      <x:c r="F152" s="29" t="str">
        <x:v>Current Liabilities</x:v>
      </x:c>
      <x:c r="G152" s="29" t="str">
        <x:v>/Users/yuntzuyu/Downloads/e-loan/Year/E-loan YYYY_Nexstar 2025.xls#Report1!R40; label=A40; dates=R6,R76; unit=O4</x:v>
      </x:c>
    </x:row>
    <x:row r="153" ht="30" customHeight="1">
      <x:c r="A153" s="26" t="str">
        <x:v>input:total_liabilities:fy_t</x:v>
      </x:c>
      <x:c r="B153" s="38" t="n">
        <x:f>IF(AND(ISNUMBER(C153),ISNUMBER(D153)),C153*D153/1000000,"缺少資料")</x:f>
        <x:v>8784</x:v>
      </x:c>
      <x:c r="C153" s="39" t="n">
        <x:v>8784000</x:v>
      </x:c>
      <x:c r="D153" s="39" t="n">
        <x:v>1000</x:v>
      </x:c>
      <x:c r="E153" s="26" t="str">
        <x:v>sourced</x:v>
      </x:c>
      <x:c r="F153" s="29" t="str">
        <x:v>Total Liabilities</x:v>
      </x:c>
      <x:c r="G153" s="29" t="str">
        <x:v>/Users/yuntzuyu/Downloads/e-loan/Year/E-loan YYYY_Nexstar 2025.xls#Report1!R62; label=A62; dates=R6,R76; unit=O4</x:v>
      </x:c>
    </x:row>
    <x:row r="154" ht="30" customHeight="1">
      <x:c r="A154" s="26" t="str">
        <x:v>input:quick_assets:fy_t</x:v>
      </x:c>
      <x:c r="B154" s="38" t="str">
        <x:v>缺少資料</x:v>
      </x:c>
      <x:c r="C154" s="39"/>
      <x:c r="D154" s="39"/>
      <x:c r="E154" s="26" t="str">
        <x:v>缺少資料</x:v>
      </x:c>
      <x:c r="F154" s="29" t="str">
        <x:v>既有底稿未提供可核實的來源科目／組成；不等於SEC未揭露</x:v>
      </x:c>
      <x:c r="G154" s="29" t="str"/>
    </x:row>
    <x:row r="155" ht="30" customHeight="1">
      <x:c r="A155" s="26" t="str">
        <x:v>input:net_worth:fy_t</x:v>
      </x:c>
      <x:c r="B155" s="38" t="str">
        <x:v>無法計算／待確認</x:v>
      </x:c>
      <x:c r="C155" s="39"/>
      <x:c r="D155" s="39"/>
      <x:c r="E155" s="26" t="str">
        <x:v>無法計算／待確認</x:v>
      </x:c>
      <x:c r="F155" s="29" t="str">
        <x:v>Approved policy; company-specific source definition not yet verified; candidate retained</x:v>
      </x:c>
      <x:c r="G155" s="29" t="str">
        <x:v>/Users/yuntzuyu/Downloads/e-loan/Year/E-loan YYYY_Nexstar 2025.xls#Report1!R70; label=A70; dates=R6,R76; unit=O4</x:v>
      </x:c>
    </x:row>
    <x:row r="156" ht="30" customHeight="1">
      <x:c r="A156" s="26" t="str">
        <x:v>input:capitalized_interest:fy_t</x:v>
      </x:c>
      <x:c r="B156" s="38" t="str">
        <x:v>缺少資料</x:v>
      </x:c>
      <x:c r="C156" s="39"/>
      <x:c r="D156" s="39"/>
      <x:c r="E156" s="26" t="str">
        <x:v>缺少資料</x:v>
      </x:c>
      <x:c r="F156" s="29" t="str">
        <x:v>原始儲存格空白／無可用數值</x:v>
      </x:c>
      <x:c r="G156" s="29" t="str">
        <x:v>/Users/yuntzuyu/Downloads/e-loan/Year/E-loan YYYY_Nexstar 2025.xls#Report1!R120; label=A120; dates=R6,R76; unit=O4</x:v>
      </x:c>
    </x:row>
    <x:row r="157" ht="30" customHeight="1">
      <x:c r="A157" s="26" t="str">
        <x:v>input:da:fy_t</x:v>
      </x:c>
      <x:c r="B157" s="38" t="n">
        <x:f>IF(AND(ISNUMBER(C157),ISNUMBER(D157)),C157*D157/1000000,"缺少資料")</x:f>
        <x:v>785</x:v>
      </x:c>
      <x:c r="C157" s="39" t="n">
        <x:v>785000</x:v>
      </x:c>
      <x:c r="D157" s="39" t="n">
        <x:v>1000</x:v>
      </x:c>
      <x:c r="E157" s="26" t="str">
        <x:v>sourced</x:v>
      </x:c>
      <x:c r="F157" s="29" t="str">
        <x:v>Depreciation &amp; Amortization</x:v>
      </x:c>
      <x:c r="G157" s="29" t="str">
        <x:v>/Users/yuntzuyu/Downloads/e-loan/Year/E-loan YYYY_Nexstar 2025.xls#Report1!R121; label=A121; dates=R6,R76; unit=O4</x:v>
      </x:c>
    </x:row>
    <x:row r="158" ht="30" customHeight="1">
      <x:c r="A158" s="26" t="str">
        <x:v>revenue_growth:fy_t_minus_3</x:v>
      </x:c>
      <x:c r="B158" s="40" t="str">
        <x:v>無法計算／待確認</x:v>
      </x:c>
      <x:c r="C158" s="39"/>
      <x:c r="D158" s="39"/>
      <x:c r="E158" s="26" t="str">
        <x:v>無法計算／待確認</x:v>
      </x:c>
      <x:c r="F158" s="29" t="str">
        <x:v>Required inputs unavailable</x:v>
      </x:c>
      <x:c r="G158" s="29" t="str"/>
    </x:row>
    <x:row r="159" ht="30" customHeight="1">
      <x:c r="A159" s="26" t="str">
        <x:v>gross_margin:fy_t_minus_3</x:v>
      </x:c>
      <x:c r="B159" s="40" t="n">
        <x:f>IF(AND(ISNUMBER(B16),ISNUMBER(B4)),IF(B4=0,"無法計算",B16/B4),"缺少資料")</x:f>
        <x:v>0.6152369986566878</x:v>
      </x:c>
      <x:c r="C159" s="39"/>
      <x:c r="D159" s="39"/>
      <x:c r="E159" s="26" t="str">
        <x:v>calculated</x:v>
      </x:c>
      <x:c r="F159" s="29" t="str">
        <x:v>Gross Profit / Revenues</x:v>
      </x:c>
      <x:c r="G159" s="29" t="str"/>
    </x:row>
    <x:row r="160" ht="30" customHeight="1">
      <x:c r="A160" s="26" t="str">
        <x:v>operating_margin:fy_t_minus_3</x:v>
      </x:c>
      <x:c r="B160" s="40" t="n">
        <x:f>IF(AND(ISNUMBER(B28),ISNUMBER(B4)),IF(B4=0,"無法計算",B28/B4),"缺少資料")</x:f>
        <x:v>0.25179428132796006</x:v>
      </x:c>
      <x:c r="C160" s="39"/>
      <x:c r="D160" s="39"/>
      <x:c r="E160" s="26" t="str">
        <x:v>calculated</x:v>
      </x:c>
      <x:c r="F160" s="29" t="str">
        <x:v>Operating Profit / Revenues</x:v>
      </x:c>
      <x:c r="G160" s="29" t="str"/>
    </x:row>
    <x:row r="161" ht="30" customHeight="1">
      <x:c r="A161" s="26" t="str">
        <x:v>pretax_margin:fy_t_minus_3</x:v>
      </x:c>
      <x:c r="B161" s="40" t="n">
        <x:f>IF(AND(ISNUMBER(B40),ISNUMBER(B4)),IF(B4=0,"無法計算",B40/B4),"缺少資料")</x:f>
        <x:v>0.2335636154289004</x:v>
      </x:c>
      <x:c r="C161" s="39"/>
      <x:c r="D161" s="39"/>
      <x:c r="E161" s="26" t="str">
        <x:v>calculated</x:v>
      </x:c>
      <x:c r="F161" s="29" t="str">
        <x:v>Pre-tax Profit / Revenues</x:v>
      </x:c>
      <x:c r="G161" s="29" t="str"/>
    </x:row>
    <x:row r="162" ht="30" customHeight="1">
      <x:c r="A162" s="26" t="str">
        <x:v>operating_margin_change:fy_t_minus_3</x:v>
      </x:c>
      <x:c r="B162" s="40" t="str">
        <x:v>無法計算／待確認</x:v>
      </x:c>
      <x:c r="C162" s="39"/>
      <x:c r="D162" s="39"/>
      <x:c r="E162" s="26" t="str">
        <x:v>無法計算／待確認</x:v>
      </x:c>
      <x:c r="F162" s="29" t="str">
        <x:v>Required inputs unavailable</x:v>
      </x:c>
      <x:c r="G162" s="29" t="str"/>
    </x:row>
    <x:row r="163" ht="30" customHeight="1">
      <x:c r="A163" s="26" t="str">
        <x:v>revenue_growth:fy_t_minus_2</x:v>
      </x:c>
      <x:c r="B163" s="40" t="n">
        <x:f>IF(AND(ISNUMBER(B5),ISNUMBER(B4)),IF(B4=0,"無法計算",(B5-B4)/B4),"缺少資料")</x:f>
        <x:v>-0.0533486854730378</x:v>
      </x:c>
      <x:c r="C163" s="39"/>
      <x:c r="D163" s="39"/>
      <x:c r="E163" s="26" t="str">
        <x:v>calculated</x:v>
      </x:c>
      <x:c r="F163" s="29" t="str">
        <x:v>(Current Year Revenues - Previous Year Revenues) / Previous Year Revenues</x:v>
      </x:c>
      <x:c r="G163" s="29" t="str"/>
    </x:row>
    <x:row r="164" ht="30" customHeight="1">
      <x:c r="A164" s="26" t="str">
        <x:v>gross_margin:fy_t_minus_2</x:v>
      </x:c>
      <x:c r="B164" s="40" t="n">
        <x:f>IF(AND(ISNUMBER(B17),ISNUMBER(B5)),IF(B5=0,"無法計算",B17/B5),"缺少資料")</x:f>
        <x:v>0.5635515913237381</x:v>
      </x:c>
      <x:c r="C164" s="39"/>
      <x:c r="D164" s="39"/>
      <x:c r="E164" s="26" t="str">
        <x:v>calculated</x:v>
      </x:c>
      <x:c r="F164" s="29" t="str">
        <x:v>Gross Profit / Revenues</x:v>
      </x:c>
      <x:c r="G164" s="29" t="str"/>
    </x:row>
    <x:row r="165" ht="30" customHeight="1">
      <x:c r="A165" s="26" t="str">
        <x:v>operating_margin:fy_t_minus_2</x:v>
      </x:c>
      <x:c r="B165" s="40" t="n">
        <x:f>IF(AND(ISNUMBER(B29),ISNUMBER(B5)),IF(B5=0,"無法計算",B29/B5),"缺少資料")</x:f>
        <x:v>0.14352321102777216</x:v>
      </x:c>
      <x:c r="C165" s="39"/>
      <x:c r="D165" s="39"/>
      <x:c r="E165" s="26" t="str">
        <x:v>calculated</x:v>
      </x:c>
      <x:c r="F165" s="29" t="str">
        <x:v>Operating Profit / Revenues</x:v>
      </x:c>
      <x:c r="G165" s="29" t="str"/>
    </x:row>
    <x:row r="166" ht="30" customHeight="1">
      <x:c r="A166" s="26" t="str">
        <x:v>pretax_margin:fy_t_minus_2</x:v>
      </x:c>
      <x:c r="B166" s="40" t="n">
        <x:f>IF(AND(ISNUMBER(B41),ISNUMBER(B5)),IF(B5=0,"無法計算",B41/B5),"缺少資料")</x:f>
        <x:v>0.08128927630245286</x:v>
      </x:c>
      <x:c r="C166" s="39"/>
      <x:c r="D166" s="39"/>
      <x:c r="E166" s="26" t="str">
        <x:v>calculated</x:v>
      </x:c>
      <x:c r="F166" s="29" t="str">
        <x:v>Pre-tax Profit / Revenues</x:v>
      </x:c>
      <x:c r="G166" s="29" t="str"/>
    </x:row>
    <x:row r="167" ht="30" customHeight="1">
      <x:c r="A167" s="26" t="str">
        <x:v>operating_margin_change:fy_t_minus_2</x:v>
      </x:c>
      <x:c r="B167" s="40" t="n">
        <x:f>IF(AND(ISNUMBER(B165),ISNUMBER(B160)),B165-B160,"缺少資料")</x:f>
        <x:v>-0.1082710703001879</x:v>
      </x:c>
      <x:c r="C167" s="39"/>
      <x:c r="D167" s="39"/>
      <x:c r="E167" s="26" t="str">
        <x:v>calculated</x:v>
      </x:c>
      <x:c r="F167" s="29" t="str">
        <x:v>Current Operating Profit Margin - Previous Operating Profit Margin</x:v>
      </x:c>
      <x:c r="G167" s="29" t="str"/>
    </x:row>
    <x:row r="168" ht="30" customHeight="1">
      <x:c r="A168" s="26" t="str">
        <x:v>revenue_growth:fy_t_minus_1</x:v>
      </x:c>
      <x:c r="B168" s="40" t="n">
        <x:f>IF(AND(ISNUMBER(B6),ISNUMBER(B5)),IF(B5=0,"無法計算",(B6-B5)/B5),"缺少資料")</x:f>
        <x:v>0.09608757348469492</x:v>
      </x:c>
      <x:c r="C168" s="39"/>
      <x:c r="D168" s="39"/>
      <x:c r="E168" s="26" t="str">
        <x:v>calculated</x:v>
      </x:c>
      <x:c r="F168" s="29" t="str">
        <x:v>(Current Year Revenues - Previous Year Revenues) / Previous Year Revenues</x:v>
      </x:c>
      <x:c r="G168" s="29" t="str"/>
    </x:row>
    <x:row r="169" ht="30" customHeight="1">
      <x:c r="A169" s="26" t="str">
        <x:v>gross_margin:fy_t_minus_1</x:v>
      </x:c>
      <x:c r="B169" s="40" t="n">
        <x:f>IF(AND(ISNUMBER(B18),ISNUMBER(B6)),IF(B6=0,"無法計算",B18/B6),"缺少資料")</x:f>
        <x:v>0.5892361753282782</x:v>
      </x:c>
      <x:c r="C169" s="39"/>
      <x:c r="D169" s="39"/>
      <x:c r="E169" s="26" t="str">
        <x:v>calculated</x:v>
      </x:c>
      <x:c r="F169" s="29" t="str">
        <x:v>Gross Profit / Revenues</x:v>
      </x:c>
      <x:c r="G169" s="29" t="str"/>
    </x:row>
    <x:row r="170" ht="30" customHeight="1">
      <x:c r="A170" s="26" t="str">
        <x:v>operating_margin:fy_t_minus_1</x:v>
      </x:c>
      <x:c r="B170" s="40" t="n">
        <x:f>IF(AND(ISNUMBER(B30),ISNUMBER(B6)),IF(B6=0,"無法計算",B30/B6),"缺少資料")</x:f>
        <x:v>0.23451081930830406</x:v>
      </x:c>
      <x:c r="C170" s="39"/>
      <x:c r="D170" s="39"/>
      <x:c r="E170" s="26" t="str">
        <x:v>calculated</x:v>
      </x:c>
      <x:c r="F170" s="29" t="str">
        <x:v>Operating Profit / Revenues</x:v>
      </x:c>
      <x:c r="G170" s="29" t="str"/>
    </x:row>
    <x:row r="171" ht="30" customHeight="1">
      <x:c r="A171" s="26" t="str">
        <x:v>pretax_margin:fy_t_minus_1</x:v>
      </x:c>
      <x:c r="B171" s="40" t="n">
        <x:f>IF(AND(ISNUMBER(B42),ISNUMBER(B6)),IF(B6=0,"無法計算",B42/B6),"缺少資料")</x:f>
        <x:v>0.17736267800998706</x:v>
      </x:c>
      <x:c r="C171" s="39"/>
      <x:c r="D171" s="39"/>
      <x:c r="E171" s="26" t="str">
        <x:v>calculated</x:v>
      </x:c>
      <x:c r="F171" s="29" t="str">
        <x:v>Pre-tax Profit / Revenues</x:v>
      </x:c>
      <x:c r="G171" s="29" t="str"/>
    </x:row>
    <x:row r="172" ht="30" customHeight="1">
      <x:c r="A172" s="26" t="str">
        <x:v>operating_margin_change:fy_t_minus_1</x:v>
      </x:c>
      <x:c r="B172" s="40" t="n">
        <x:f>IF(AND(ISNUMBER(B170),ISNUMBER(B165)),B170-B165,"缺少資料")</x:f>
        <x:v>0.0909876082805319</x:v>
      </x:c>
      <x:c r="C172" s="39"/>
      <x:c r="D172" s="39"/>
      <x:c r="E172" s="26" t="str">
        <x:v>calculated</x:v>
      </x:c>
      <x:c r="F172" s="29" t="str">
        <x:v>Current Operating Profit Margin - Previous Operating Profit Margin</x:v>
      </x:c>
      <x:c r="G172" s="29" t="str"/>
    </x:row>
    <x:row r="173" ht="30" customHeight="1">
      <x:c r="A173" s="26" t="str">
        <x:v>revenue_growth:fy_t</x:v>
      </x:c>
      <x:c r="B173" s="40" t="n">
        <x:f>IF(AND(ISNUMBER(B8),ISNUMBER(B6)),IF(B6=0,"無法計算",(B8-B6)/B6),"缺少資料")</x:f>
        <x:v>-0.08470501202145367</x:v>
      </x:c>
      <x:c r="C173" s="39"/>
      <x:c r="D173" s="39"/>
      <x:c r="E173" s="26" t="str">
        <x:v>calculated</x:v>
      </x:c>
      <x:c r="F173" s="29" t="str">
        <x:v>(Current Year Revenues - Previous Year Revenues) / Previous Year Revenues</x:v>
      </x:c>
      <x:c r="G173" s="29" t="str"/>
    </x:row>
    <x:row r="174" ht="30" customHeight="1">
      <x:c r="A174" s="26" t="str">
        <x:v>gross_margin:fy_t</x:v>
      </x:c>
      <x:c r="B174" s="40" t="n">
        <x:f>IF(AND(ISNUMBER(B20),ISNUMBER(B8)),IF(B8=0,"無法計算",B20/B8),"缺少資料")</x:f>
        <x:v>0.5483936148716912</x:v>
      </x:c>
      <x:c r="C174" s="39"/>
      <x:c r="D174" s="39"/>
      <x:c r="E174" s="26" t="str">
        <x:v>calculated</x:v>
      </x:c>
      <x:c r="F174" s="29" t="str">
        <x:v>Gross Profit / Revenues</x:v>
      </x:c>
      <x:c r="G174" s="29" t="str"/>
    </x:row>
    <x:row r="175" ht="30" customHeight="1">
      <x:c r="A175" s="26" t="str">
        <x:v>operating_margin:fy_t</x:v>
      </x:c>
      <x:c r="B175" s="40" t="n">
        <x:f>IF(AND(ISNUMBER(B32),ISNUMBER(B8)),IF(B8=0,"無法計算",B32/B8),"缺少資料")</x:f>
        <x:v>0.17154980804202868</x:v>
      </x:c>
      <x:c r="C175" s="39"/>
      <x:c r="D175" s="39"/>
      <x:c r="E175" s="26" t="str">
        <x:v>calculated</x:v>
      </x:c>
      <x:c r="F175" s="29" t="str">
        <x:v>Operating Profit / Revenues</x:v>
      </x:c>
      <x:c r="G175" s="29" t="str"/>
    </x:row>
    <x:row r="176" ht="30" customHeight="1">
      <x:c r="A176" s="26" t="str">
        <x:v>pretax_margin:fy_t</x:v>
      </x:c>
      <x:c r="B176" s="40" t="n">
        <x:f>IF(AND(ISNUMBER(B44),ISNUMBER(B8)),IF(B8=0,"無法計算",B44/B8),"缺少資料")</x:f>
        <x:v>0.030309153364316024</x:v>
      </x:c>
      <x:c r="C176" s="39"/>
      <x:c r="D176" s="39"/>
      <x:c r="E176" s="26" t="str">
        <x:v>calculated</x:v>
      </x:c>
      <x:c r="F176" s="29" t="str">
        <x:v>Pre-tax Profit / Revenues</x:v>
      </x:c>
      <x:c r="G176" s="29" t="str"/>
    </x:row>
    <x:row r="177" ht="30" customHeight="1">
      <x:c r="A177" s="26" t="str">
        <x:v>operating_margin_change:fy_t</x:v>
      </x:c>
      <x:c r="B177" s="40" t="n">
        <x:f>IF(AND(ISNUMBER(B175),ISNUMBER(B170)),B175-B170,"缺少資料")</x:f>
        <x:v>-0.06296101126627537</x:v>
      </x:c>
      <x:c r="C177" s="39"/>
      <x:c r="D177" s="39"/>
      <x:c r="E177" s="26" t="str">
        <x:v>calculated</x:v>
      </x:c>
      <x:c r="F177" s="29" t="str">
        <x:v>Current Operating Profit Margin - Previous Operating Profit Margin</x:v>
      </x:c>
      <x:c r="G177" s="29" t="str"/>
    </x:row>
    <x:row r="178">
      <x:c r="A178" s="26"/>
      <x:c r="B178" s="26"/>
      <x:c r="C178" s="26"/>
      <x:c r="D178" s="26"/>
      <x:c r="E178" s="26"/>
      <x:c r="F178" s="26"/>
      <x:c r="G178" s="26"/>
    </x:row>
    <x:row r="179">
      <x:c r="A179" s="26"/>
      <x:c r="B179" s="26"/>
      <x:c r="C179" s="26"/>
      <x:c r="D179" s="26"/>
      <x:c r="E179" s="26"/>
      <x:c r="F179" s="26"/>
      <x:c r="G179" s="26"/>
    </x:row>
    <x:row r="180">
      <x:c r="A180" s="42" t="str">
        <x:v>Evidence ID</x:v>
      </x:c>
      <x:c r="B180" s="42" t="str">
        <x:v>種類</x:v>
      </x:c>
      <x:c r="C180" s="42" t="str">
        <x:v>Source ID</x:v>
      </x:c>
      <x:c r="D180" s="42" t="str">
        <x:v>版本</x:v>
      </x:c>
      <x:c r="E180" s="42" t="str">
        <x:v>文件日期</x:v>
      </x:c>
      <x:c r="F180" s="42" t="str">
        <x:v>來源位置</x:v>
      </x:c>
      <x:c r="G180" s="42" t="str">
        <x:v>原始證據內容</x:v>
      </x:c>
    </x:row>
    <x:row r="181" ht="56" customHeight="1">
      <x:c r="A181" s="29" t="str">
        <x:v>calendar:05762549de4ad1aacf1c06b458b70e142b9bc3658d3ece370a8a2ccea010e52b</x:v>
      </x:c>
      <x:c r="B181" s="29" t="str">
        <x:v>calendar</x:v>
      </x:c>
      <x:c r="C181" s="29" t="str">
        <x:v>workbook:05762549de4ad1aacf1c06b458b70e142b9bc3658d3ece370a8a2ccea010e52b</x:v>
      </x:c>
      <x:c r="D181" s="29" t="str">
        <x:v>05762549de4ad1aacf1c06b458b70e142b9bc3658d3ece370a8a2ccea010e52b</x:v>
      </x:c>
      <x:c r="E181" s="29" t="str">
        <x:v>2026-10-24</x:v>
      </x:c>
      <x:c r="F181" s="29" t="str">
        <x:v>/Users/yuntzuyu/Downloads/e-loan/Year/E-loan YYYY_Nexstar 2025.xls#Report1!D6:R6,D76:R76,O4,A1,A4</x:v>
      </x:c>
      <x:c r="G181" s="29" t="str">
        <x:v>Read-only local workbook review snapshot; actual column date strings, USD thousand and consolidated entity checked. This date is the review-snapshot date, not the unknown SEC filing/publication date. Company SEC fiscal calendar not independently verified.</x:v>
      </x:c>
    </x:row>
    <x:row r="182" ht="42" customHeight="1">
      <x:c r="A182" s="29" t="str">
        <x:v>approval:user-approved-2026-10-24:DEC-01</x:v>
      </x:c>
      <x:c r="B182" s="29" t="str">
        <x:v>definition</x:v>
      </x:c>
      <x:c r="C182" s="29" t="str">
        <x:v>user-approved-policy</x:v>
      </x:c>
      <x:c r="D182" s="29" t="str">
        <x:v>user-approved-2026-10-24</x:v>
      </x:c>
      <x:c r="E182" s="29" t="str">
        <x:v>2026-10-24</x:v>
      </x:c>
      <x:c r="F182" s="29" t="str">
        <x:v>references/loan-review-acceptance-spec-v1.0.md#9.1-9.2</x:v>
      </x:c>
      <x:c r="G182" s="29" t="str">
        <x:v>Unrestricted cash and equivalents + liquid short-term investments + net receivables; no inventory, prepayments, restricted cash or duplicate investments</x:v>
      </x:c>
    </x:row>
    <x:row r="183" ht="42" customHeight="1">
      <x:c r="A183" s="29" t="str">
        <x:v>approval:user-approved-2026-10-24:DEC-02</x:v>
      </x:c>
      <x:c r="B183" s="29" t="str">
        <x:v>definition</x:v>
      </x:c>
      <x:c r="C183" s="29" t="str">
        <x:v>user-approved-policy</x:v>
      </x:c>
      <x:c r="D183" s="29" t="str">
        <x:v>user-approved-2026-10-24</x:v>
      </x:c>
      <x:c r="E183" s="29" t="str">
        <x:v>2026-10-24</x:v>
      </x:c>
      <x:c r="F183" s="29" t="str">
        <x:v>references/loan-review-acceptance-spec-v1.0.md#9.1-9.2</x:v>
      </x:c>
      <x:c r="G183" s="29" t="str">
        <x:v>Consolidated total equity including NCI; debt includes interest-bearing borrowings, bonds and finance leases, excludes operating leases; no duplicate current portions</x:v>
      </x:c>
    </x:row>
    <x:row r="184" ht="32" customHeight="1">
      <x:c r="A184" s="29" t="str">
        <x:v>approval:user-approved-2026-10-24:DEC-04</x:v>
      </x:c>
      <x:c r="B184" s="29" t="str">
        <x:v>definition</x:v>
      </x:c>
      <x:c r="C184" s="29" t="str">
        <x:v>user-approved-policy</x:v>
      </x:c>
      <x:c r="D184" s="29" t="str">
        <x:v>user-approved-2026-10-24</x:v>
      </x:c>
      <x:c r="E184" s="29" t="str">
        <x:v>2026-10-24</x:v>
      </x:c>
      <x:c r="F184" s="29" t="str">
        <x:v>references/loan-review-acceptance-spec-v1.0.md#9.1-9.2</x:v>
      </x:c>
      <x:c r="G184" s="29" t="str">
        <x:v>Opening/closing average; verified complete Months; allowance deducted once; no LTM annualization</x:v>
      </x:c>
    </x:row>
    <x:row r="185" ht="32" customHeight="1">
      <x:c r="A185" s="29" t="str">
        <x:v>approval:user-approved-2026-10-24:DEC-05</x:v>
      </x:c>
      <x:c r="B185" s="29" t="str">
        <x:v>definition</x:v>
      </x:c>
      <x:c r="C185" s="29" t="str">
        <x:v>user-approved-policy</x:v>
      </x:c>
      <x:c r="D185" s="29" t="str">
        <x:v>user-approved-2026-10-24</x:v>
      </x:c>
      <x:c r="E185" s="29" t="str">
        <x:v>2026-10-24</x:v>
      </x:c>
      <x:c r="F185" s="29" t="str">
        <x:v>references/loan-review-acceptance-spec-v1.0.md#9.1-9.2</x:v>
      </x:c>
      <x:c r="G185" s="29" t="str">
        <x:v>Gross expensed interest, without netting interest income; separately disclosed capitalized interest, no duplication</x:v>
      </x:c>
    </x:row>
    <x:row r="186" ht="32" customHeight="1">
      <x:c r="A186" s="29" t="str">
        <x:v>approval:user-approved-2026-10-24:DEC-06</x:v>
      </x:c>
      <x:c r="B186" s="29" t="str">
        <x:v>definition</x:v>
      </x:c>
      <x:c r="C186" s="29" t="str">
        <x:v>user-approved-policy</x:v>
      </x:c>
      <x:c r="D186" s="29" t="str">
        <x:v>user-approved-2026-10-24</x:v>
      </x:c>
      <x:c r="E186" s="29" t="str">
        <x:v>2026-10-24</x:v>
      </x:c>
      <x:c r="F186" s="29" t="str">
        <x:v>references/loan-review-acceptance-spec-v1.0.md#9.1-9.2</x:v>
      </x:c>
      <x:c r="G186" s="29" t="str">
        <x:v>Standard EBITDA: Net Income + Interest + Taxes + D&amp;A</x:v>
      </x:c>
    </x:row>
    <x:row r="187" ht="32" customHeight="1">
      <x:c r="A187" s="29" t="str">
        <x:v>approval:user-approved-2026-10-24:DEC-07</x:v>
      </x:c>
      <x:c r="B187" s="29" t="str">
        <x:v>definition</x:v>
      </x:c>
      <x:c r="C187" s="29" t="str">
        <x:v>user-approved-policy</x:v>
      </x:c>
      <x:c r="D187" s="29" t="str">
        <x:v>user-approved-2026-10-24</x:v>
      </x:c>
      <x:c r="E187" s="29" t="str">
        <x:v>2026-10-24</x:v>
      </x:c>
      <x:c r="F187" s="29" t="str">
        <x:v>references/loan-review-acceptance-spec-v1.0.md#9.1-9.2</x:v>
      </x:c>
      <x:c r="G187" s="29" t="str">
        <x:v>Only publicly available sources at explicit as-of; latest applicable restatement by that date; retain prior versions</x:v>
      </x:c>
    </x:row>
    <x:row r="188" ht="32" customHeight="1">
      <x:c r="A188" s="29" t="str">
        <x:v>approval:user-approved-2026-10-24:DEC-08</x:v>
      </x:c>
      <x:c r="B188" s="29" t="str">
        <x:v>definition</x:v>
      </x:c>
      <x:c r="C188" s="29" t="str">
        <x:v>user-approved-policy</x:v>
      </x:c>
      <x:c r="D188" s="29" t="str">
        <x:v>user-approved-2026-10-24</x:v>
      </x:c>
      <x:c r="E188" s="29" t="str">
        <x:v>2026-10-24</x:v>
      </x:c>
      <x:c r="F188" s="29" t="str">
        <x:v>references/loan-review-acceptance-spec-v1.0.md#9.1-9.2</x:v>
      </x:c>
      <x:c r="G188" s="29" t="str">
        <x:v>Explicit unavailable states; critical missing facts and incomplete reconciliations block final acceptance</x:v>
      </x:c>
    </x:row>
    <x:row r="189" ht="32" customHeight="1">
      <x:c r="A189" s="29" t="str">
        <x:v>approval:user-approved-2026-10-24:DEC-09</x:v>
      </x:c>
      <x:c r="B189" s="29" t="str">
        <x:v>definition</x:v>
      </x:c>
      <x:c r="C189" s="29" t="str">
        <x:v>user-approved-policy</x:v>
      </x:c>
      <x:c r="D189" s="29" t="str">
        <x:v>user-approved-2026-10-24</x:v>
      </x:c>
      <x:c r="E189" s="29" t="str">
        <x:v>2026-10-24</x:v>
      </x:c>
      <x:c r="F189" s="29" t="str">
        <x:v>references/loan-review-acceptance-spec-v1.0.md#9.1-9.2</x:v>
      </x:c>
      <x:c r="G189" s="29" t="str">
        <x:v>Millions in source currency; two decimal places; parentheses for negatives; retain original precision and scale</x:v>
      </x:c>
    </x:row>
    <x:row r="190" ht="32" customHeight="1">
      <x:c r="A190" s="29" t="str">
        <x:v>approval:user-approved-2026-10-24:DEC-10</x:v>
      </x:c>
      <x:c r="B190" s="29" t="str">
        <x:v>definition</x:v>
      </x:c>
      <x:c r="C190" s="29" t="str">
        <x:v>user-approved-policy</x:v>
      </x:c>
      <x:c r="D190" s="29" t="str">
        <x:v>user-approved-2026-10-24</x:v>
      </x:c>
      <x:c r="E190" s="29" t="str">
        <x:v>2026-10-24</x:v>
      </x:c>
      <x:c r="F190" s="29" t="str">
        <x:v>references/loan-review-acceptance-spec-v1.0.md#9.1-9.2</x:v>
      </x:c>
      <x:c r="G190" s="29" t="str">
        <x:v>Structured inputs and validated workbook adapters only; non-SEC provenance remains explicit</x:v>
      </x:c>
    </x:row>
    <x:row r="191" ht="32" customHeight="1">
      <x:c r="A191" s="29" t="str">
        <x:v>approval:user-approved-2026-10-24:DEC-11</x:v>
      </x:c>
      <x:c r="B191" s="29" t="str">
        <x:v>definition</x:v>
      </x:c>
      <x:c r="C191" s="29" t="str">
        <x:v>user-approved-policy</x:v>
      </x:c>
      <x:c r="D191" s="29" t="str">
        <x:v>user-approved-2026-10-24</x:v>
      </x:c>
      <x:c r="E191" s="29" t="str">
        <x:v>2026-10-24</x:v>
      </x:c>
      <x:c r="F191" s="29" t="str">
        <x:v>references/loan-review-acceptance-spec-v1.0.md#9.1-9.2</x:v>
      </x:c>
      <x:c r="G191" s="29" t="str">
        <x:v>Dashboard excluded from this delivery</x:v>
      </x:c>
    </x:row>
    <x:row r="192" ht="70" customHeight="1">
      <x:c r="A192" s="29" t="str">
        <x:v>workbook:05762549de4ad1aacf1c06b458b70e142b9bc3658d3ece370a8a2ccea010e52b:D80</x:v>
      </x:c>
      <x:c r="B192" s="29" t="str">
        <x:v>fact</x:v>
      </x:c>
      <x:c r="C192" s="29" t="str">
        <x:v>workbook:05762549de4ad1aacf1c06b458b70e142b9bc3658d3ece370a8a2ccea010e52b</x:v>
      </x:c>
      <x:c r="D192" s="29" t="str">
        <x:v>05762549de4ad1aacf1c06b458b70e142b9bc3658d3ece370a8a2ccea010e52b</x:v>
      </x:c>
      <x:c r="E192" s="29" t="str">
        <x:v>2026-10-24</x:v>
      </x:c>
      <x:c r="F192" s="29" t="str">
        <x:v>/Users/yuntzuyu/Downloads/e-loan/Year/E-loan YYYY_Nexstar 2025.xls#Report1!D80; label=A80; dates=D6,D76; unit=O4</x:v>
      </x:c>
      <x:c r="G192" s="29" t="str">
        <x:v>{"value": "5211000.0", "unit": "USD", "scale": "1000", "definition": "Revenues", "basis": "", "excerpt": "Revenues: 5211000.0; consolidation=A1; entity=A4; period=2022-01-01~2022-12-31; raw cell retained", "source_url": "/Users/yuntzuyu/Downloads/e-loan/Year/E-loan YYYY_Nexstar 2025.xls", "reason": ""}</x:v>
      </x:c>
    </x:row>
    <x:row r="193" ht="70" customHeight="1">
      <x:c r="A193" s="29" t="str">
        <x:v>workbook:05762549de4ad1aacf1c06b458b70e142b9bc3658d3ece370a8a2ccea010e52b:I80</x:v>
      </x:c>
      <x:c r="B193" s="29" t="str">
        <x:v>fact</x:v>
      </x:c>
      <x:c r="C193" s="29" t="str">
        <x:v>workbook:05762549de4ad1aacf1c06b458b70e142b9bc3658d3ece370a8a2ccea010e52b</x:v>
      </x:c>
      <x:c r="D193" s="29" t="str">
        <x:v>05762549de4ad1aacf1c06b458b70e142b9bc3658d3ece370a8a2ccea010e52b</x:v>
      </x:c>
      <x:c r="E193" s="29" t="str">
        <x:v>2026-10-24</x:v>
      </x:c>
      <x:c r="F193" s="29" t="str">
        <x:v>/Users/yuntzuyu/Downloads/e-loan/Year/E-loan YYYY_Nexstar 2025.xls#Report1!I80; label=A80; dates=I6,I76; unit=O4</x:v>
      </x:c>
      <x:c r="G193" s="29" t="str">
        <x:v>{"value": "4933000.0", "unit": "USD", "scale": "1000", "definition": "Revenues", "basis": "", "excerpt": "Revenues: 4933000.0; consolidation=A1; entity=A4; period=2023-01-01~2023-12-31; raw cell retained", "source_url": "/Users/yuntzuyu/Downloads/e-loan/Year/E-loan YYYY_Nexstar 2025.xls", "reason": ""}</x:v>
      </x:c>
    </x:row>
    <x:row r="194" ht="70" customHeight="1">
      <x:c r="A194" s="29" t="str">
        <x:v>workbook:05762549de4ad1aacf1c06b458b70e142b9bc3658d3ece370a8a2ccea010e52b:M80</x:v>
      </x:c>
      <x:c r="B194" s="29" t="str">
        <x:v>fact</x:v>
      </x:c>
      <x:c r="C194" s="29" t="str">
        <x:v>workbook:05762549de4ad1aacf1c06b458b70e142b9bc3658d3ece370a8a2ccea010e52b</x:v>
      </x:c>
      <x:c r="D194" s="29" t="str">
        <x:v>05762549de4ad1aacf1c06b458b70e142b9bc3658d3ece370a8a2ccea010e52b</x:v>
      </x:c>
      <x:c r="E194" s="29" t="str">
        <x:v>2026-10-24</x:v>
      </x:c>
      <x:c r="F194" s="29" t="str">
        <x:v>/Users/yuntzuyu/Downloads/e-loan/Year/E-loan YYYY_Nexstar 2025.xls#Report1!M80; label=A80; dates=M6,M76; unit=O4</x:v>
      </x:c>
      <x:c r="G194" s="29" t="str">
        <x:v>{"value": "5407000.0", "unit": "USD", "scale": "1000", "definition": "Revenues", "basis": "", "excerpt": "Revenues: 5407000.0; consolidation=A1; entity=A4; period=2024-01-01~2024-12-31; raw cell retained", "source_url": "/Users/yuntzuyu/Downloads/e-loan/Year/E-loan YYYY_Nexstar 2025.xls", "reason": ""}</x:v>
      </x:c>
    </x:row>
    <x:row r="195" ht="70" customHeight="1">
      <x:c r="A195" s="29" t="str">
        <x:v>workbook:05762549de4ad1aacf1c06b458b70e142b9bc3658d3ece370a8a2ccea010e52b:R80</x:v>
      </x:c>
      <x:c r="B195" s="29" t="str">
        <x:v>fact</x:v>
      </x:c>
      <x:c r="C195" s="29" t="str">
        <x:v>workbook:05762549de4ad1aacf1c06b458b70e142b9bc3658d3ece370a8a2ccea010e52b</x:v>
      </x:c>
      <x:c r="D195" s="29" t="str">
        <x:v>05762549de4ad1aacf1c06b458b70e142b9bc3658d3ece370a8a2ccea010e52b</x:v>
      </x:c>
      <x:c r="E195" s="29" t="str">
        <x:v>2026-10-24</x:v>
      </x:c>
      <x:c r="F195" s="29" t="str">
        <x:v>/Users/yuntzuyu/Downloads/e-loan/Year/E-loan YYYY_Nexstar 2025.xls#Report1!R80; label=A80; dates=R6,R76; unit=O4</x:v>
      </x:c>
      <x:c r="G195" s="29" t="str">
        <x:v>{"value": "4949000.0", "unit": "USD", "scale": "1000", "definition": "Revenues", "basis": "", "excerpt": "Revenues: 4949000.0; consolidation=A1; entity=A4; period=2025-01-01~2025-12-31; raw cell retained", "source_url": "/Users/yuntzuyu/Downloads/e-loan/Year/E-loan YYYY_Nexstar 2025.xls", "reason": ""}</x:v>
      </x:c>
    </x:row>
    <x:row r="196" ht="70" customHeight="1">
      <x:c r="A196" s="29" t="str">
        <x:v>workbook:05762549de4ad1aacf1c06b458b70e142b9bc3658d3ece370a8a2ccea010e52b:D86</x:v>
      </x:c>
      <x:c r="B196" s="29" t="str">
        <x:v>fact</x:v>
      </x:c>
      <x:c r="C196" s="29" t="str">
        <x:v>workbook:05762549de4ad1aacf1c06b458b70e142b9bc3658d3ece370a8a2ccea010e52b</x:v>
      </x:c>
      <x:c r="D196" s="29" t="str">
        <x:v>05762549de4ad1aacf1c06b458b70e142b9bc3658d3ece370a8a2ccea010e52b</x:v>
      </x:c>
      <x:c r="E196" s="29" t="str">
        <x:v>2026-10-24</x:v>
      </x:c>
      <x:c r="F196" s="29" t="str">
        <x:v>/Users/yuntzuyu/Downloads/e-loan/Year/E-loan YYYY_Nexstar 2025.xls#Report1!D86; label=A86; dates=D6,D76; unit=O4</x:v>
      </x:c>
      <x:c r="G196" s="29" t="str">
        <x:v>{"value": "2005000.0", "unit": "USD", "scale": "1000", "definition": "Operating Cost", "basis": "", "excerpt": "Operating Cost: 2005000.0; consolidation=A1; entity=A4; period=2022-01-01~2022-12-31; raw cell retained", "source_url": "/Users/yuntzuyu/Downloads/e-loan/Year/E-loan YYYY_Nexstar 2025.xls", "reason": ""}</x:v>
      </x:c>
    </x:row>
    <x:row r="197" ht="70" customHeight="1">
      <x:c r="A197" s="29" t="str">
        <x:v>workbook:05762549de4ad1aacf1c06b458b70e142b9bc3658d3ece370a8a2ccea010e52b:I86</x:v>
      </x:c>
      <x:c r="B197" s="29" t="str">
        <x:v>fact</x:v>
      </x:c>
      <x:c r="C197" s="29" t="str">
        <x:v>workbook:05762549de4ad1aacf1c06b458b70e142b9bc3658d3ece370a8a2ccea010e52b</x:v>
      </x:c>
      <x:c r="D197" s="29" t="str">
        <x:v>05762549de4ad1aacf1c06b458b70e142b9bc3658d3ece370a8a2ccea010e52b</x:v>
      </x:c>
      <x:c r="E197" s="29" t="str">
        <x:v>2026-10-24</x:v>
      </x:c>
      <x:c r="F197" s="29" t="str">
        <x:v>/Users/yuntzuyu/Downloads/e-loan/Year/E-loan YYYY_Nexstar 2025.xls#Report1!I86; label=A86; dates=I6,I76; unit=O4</x:v>
      </x:c>
      <x:c r="G197" s="29" t="str">
        <x:v>{"value": "2153000.0", "unit": "USD", "scale": "1000", "definition": "Operating Cost", "basis": "", "excerpt": "Operating Cost: 2153000.0; consolidation=A1; entity=A4; period=2023-01-01~2023-12-31; raw cell retained", "source_url": "/Users/yuntzuyu/Downloads/e-loan/Year/E-loan YYYY_Nexstar 2025.xls", "reason": ""}</x:v>
      </x:c>
    </x:row>
    <x:row r="198" ht="70" customHeight="1">
      <x:c r="A198" s="29" t="str">
        <x:v>workbook:05762549de4ad1aacf1c06b458b70e142b9bc3658d3ece370a8a2ccea010e52b:M86</x:v>
      </x:c>
      <x:c r="B198" s="29" t="str">
        <x:v>fact</x:v>
      </x:c>
      <x:c r="C198" s="29" t="str">
        <x:v>workbook:05762549de4ad1aacf1c06b458b70e142b9bc3658d3ece370a8a2ccea010e52b</x:v>
      </x:c>
      <x:c r="D198" s="29" t="str">
        <x:v>05762549de4ad1aacf1c06b458b70e142b9bc3658d3ece370a8a2ccea010e52b</x:v>
      </x:c>
      <x:c r="E198" s="29" t="str">
        <x:v>2026-10-24</x:v>
      </x:c>
      <x:c r="F198" s="29" t="str">
        <x:v>/Users/yuntzuyu/Downloads/e-loan/Year/E-loan YYYY_Nexstar 2025.xls#Report1!M86; label=A86; dates=M6,M76; unit=O4</x:v>
      </x:c>
      <x:c r="G198" s="29" t="str">
        <x:v>{"value": "2221000.0", "unit": "USD", "scale": "1000", "definition": "Operating Cost", "basis": "", "excerpt": "Operating Cost: 2221000.0; consolidation=A1; entity=A4; period=2024-01-01~2024-12-31; raw cell retained", "source_url": "/Users/yuntzuyu/Downloads/e-loan/Year/E-loan YYYY_Nexstar 2025.xls", "reason": ""}</x:v>
      </x:c>
    </x:row>
    <x:row r="199" ht="70" customHeight="1">
      <x:c r="A199" s="29" t="str">
        <x:v>workbook:05762549de4ad1aacf1c06b458b70e142b9bc3658d3ece370a8a2ccea010e52b:R86</x:v>
      </x:c>
      <x:c r="B199" s="29" t="str">
        <x:v>fact</x:v>
      </x:c>
      <x:c r="C199" s="29" t="str">
        <x:v>workbook:05762549de4ad1aacf1c06b458b70e142b9bc3658d3ece370a8a2ccea010e52b</x:v>
      </x:c>
      <x:c r="D199" s="29" t="str">
        <x:v>05762549de4ad1aacf1c06b458b70e142b9bc3658d3ece370a8a2ccea010e52b</x:v>
      </x:c>
      <x:c r="E199" s="29" t="str">
        <x:v>2026-10-24</x:v>
      </x:c>
      <x:c r="F199" s="29" t="str">
        <x:v>/Users/yuntzuyu/Downloads/e-loan/Year/E-loan YYYY_Nexstar 2025.xls#Report1!R86; label=A86; dates=R6,R76; unit=O4</x:v>
      </x:c>
      <x:c r="G199" s="29" t="str">
        <x:v>{"value": "2235000.0", "unit": "USD", "scale": "1000", "definition": "Operating Cost", "basis": "", "excerpt": "Operating Cost: 2235000.0; consolidation=A1; entity=A4; period=2025-01-01~2025-12-31; raw cell retained", "source_url": "/Users/yuntzuyu/Downloads/e-loan/Year/E-loan YYYY_Nexstar 2025.xls", "reason": ""}</x:v>
      </x:c>
    </x:row>
    <x:row r="200" ht="70" customHeight="1">
      <x:c r="A200" s="29" t="str">
        <x:v>workbook:05762549de4ad1aacf1c06b458b70e142b9bc3658d3ece370a8a2ccea010e52b:D94</x:v>
      </x:c>
      <x:c r="B200" s="29" t="str">
        <x:v>fact</x:v>
      </x:c>
      <x:c r="C200" s="29" t="str">
        <x:v>workbook:05762549de4ad1aacf1c06b458b70e142b9bc3658d3ece370a8a2ccea010e52b</x:v>
      </x:c>
      <x:c r="D200" s="29" t="str">
        <x:v>05762549de4ad1aacf1c06b458b70e142b9bc3658d3ece370a8a2ccea010e52b</x:v>
      </x:c>
      <x:c r="E200" s="29" t="str">
        <x:v>2026-10-24</x:v>
      </x:c>
      <x:c r="F200" s="29" t="str">
        <x:v>/Users/yuntzuyu/Downloads/e-loan/Year/E-loan YYYY_Nexstar 2025.xls#Report1!D94; label=A94; dates=D6,D76; unit=O4</x:v>
      </x:c>
      <x:c r="G200" s="29" t="str">
        <x:v>{"value": "3206000.0", "unit": "USD", "scale": "1000", "definition": "Gross Profit", "basis": "", "excerpt": "Gross Profit: 3206000.0; consolidation=A1; entity=A4; period=2022-01-01~2022-12-31; raw cell retained", "source_url": "/Users/yuntzuyu/Downloads/e-loan/Year/E-loan YYYY_Nexstar 2025.xls", "reason": ""}</x:v>
      </x:c>
    </x:row>
    <x:row r="201" ht="70" customHeight="1">
      <x:c r="A201" s="29" t="str">
        <x:v>workbook:05762549de4ad1aacf1c06b458b70e142b9bc3658d3ece370a8a2ccea010e52b:I94</x:v>
      </x:c>
      <x:c r="B201" s="29" t="str">
        <x:v>fact</x:v>
      </x:c>
      <x:c r="C201" s="29" t="str">
        <x:v>workbook:05762549de4ad1aacf1c06b458b70e142b9bc3658d3ece370a8a2ccea010e52b</x:v>
      </x:c>
      <x:c r="D201" s="29" t="str">
        <x:v>05762549de4ad1aacf1c06b458b70e142b9bc3658d3ece370a8a2ccea010e52b</x:v>
      </x:c>
      <x:c r="E201" s="29" t="str">
        <x:v>2026-10-24</x:v>
      </x:c>
      <x:c r="F201" s="29" t="str">
        <x:v>/Users/yuntzuyu/Downloads/e-loan/Year/E-loan YYYY_Nexstar 2025.xls#Report1!I94; label=A94; dates=I6,I76; unit=O4</x:v>
      </x:c>
      <x:c r="G201" s="29" t="str">
        <x:v>{"value": "2780000.0", "unit": "USD", "scale": "1000", "definition": "Gross Profit", "basis": "", "excerpt": "Gross Profit: 2780000.0; consolidation=A1; entity=A4; period=2023-01-01~2023-12-31; raw cell retained", "source_url": "/Users/yuntzuyu/Downloads/e-loan/Year/E-loan YYYY_Nexstar 2025.xls", "reason": ""}</x:v>
      </x:c>
    </x:row>
    <x:row r="202" ht="70" customHeight="1">
      <x:c r="A202" s="29" t="str">
        <x:v>workbook:05762549de4ad1aacf1c06b458b70e142b9bc3658d3ece370a8a2ccea010e52b:M94</x:v>
      </x:c>
      <x:c r="B202" s="29" t="str">
        <x:v>fact</x:v>
      </x:c>
      <x:c r="C202" s="29" t="str">
        <x:v>workbook:05762549de4ad1aacf1c06b458b70e142b9bc3658d3ece370a8a2ccea010e52b</x:v>
      </x:c>
      <x:c r="D202" s="29" t="str">
        <x:v>05762549de4ad1aacf1c06b458b70e142b9bc3658d3ece370a8a2ccea010e52b</x:v>
      </x:c>
      <x:c r="E202" s="29" t="str">
        <x:v>2026-10-24</x:v>
      </x:c>
      <x:c r="F202" s="29" t="str">
        <x:v>/Users/yuntzuyu/Downloads/e-loan/Year/E-loan YYYY_Nexstar 2025.xls#Report1!M94; label=A94; dates=M6,M76; unit=O4</x:v>
      </x:c>
      <x:c r="G202" s="29" t="str">
        <x:v>{"value": "3186000.0", "unit": "USD", "scale": "1000", "definition": "Gross Profit", "basis": "", "excerpt": "Gross Profit: 3186000.0; consolidation=A1; entity=A4; period=2024-01-01~2024-12-31; raw cell retained", "source_url": "/Users/yuntzuyu/Downloads/e-loan/Year/E-loan YYYY_Nexstar 2025.xls", "reason": ""}</x:v>
      </x:c>
    </x:row>
    <x:row r="203" ht="70" customHeight="1">
      <x:c r="A203" s="29" t="str">
        <x:v>workbook:05762549de4ad1aacf1c06b458b70e142b9bc3658d3ece370a8a2ccea010e52b:R94</x:v>
      </x:c>
      <x:c r="B203" s="29" t="str">
        <x:v>fact</x:v>
      </x:c>
      <x:c r="C203" s="29" t="str">
        <x:v>workbook:05762549de4ad1aacf1c06b458b70e142b9bc3658d3ece370a8a2ccea010e52b</x:v>
      </x:c>
      <x:c r="D203" s="29" t="str">
        <x:v>05762549de4ad1aacf1c06b458b70e142b9bc3658d3ece370a8a2ccea010e52b</x:v>
      </x:c>
      <x:c r="E203" s="29" t="str">
        <x:v>2026-10-24</x:v>
      </x:c>
      <x:c r="F203" s="29" t="str">
        <x:v>/Users/yuntzuyu/Downloads/e-loan/Year/E-loan YYYY_Nexstar 2025.xls#Report1!R94; label=A94; dates=R6,R76; unit=O4</x:v>
      </x:c>
      <x:c r="G203" s="29" t="str">
        <x:v>{"value": "2714000.0", "unit": "USD", "scale": "1000", "definition": "Gross Profit", "basis": "", "excerpt": "Gross Profit: 2714000.0; consolidation=A1; entity=A4; period=2025-01-01~2025-12-31; raw cell retained", "source_url": "/Users/yuntzuyu/Downloads/e-loan/Year/E-loan YYYY_Nexstar 2025.xls", "reason": ""}</x:v>
      </x:c>
    </x:row>
    <x:row r="204" ht="70" customHeight="1">
      <x:c r="A204" s="29" t="str">
        <x:v>workbook:05762549de4ad1aacf1c06b458b70e142b9bc3658d3ece370a8a2ccea010e52b:D96</x:v>
      </x:c>
      <x:c r="B204" s="29" t="str">
        <x:v>fact</x:v>
      </x:c>
      <x:c r="C204" s="29" t="str">
        <x:v>workbook:05762549de4ad1aacf1c06b458b70e142b9bc3658d3ece370a8a2ccea010e52b</x:v>
      </x:c>
      <x:c r="D204" s="29" t="str">
        <x:v>05762549de4ad1aacf1c06b458b70e142b9bc3658d3ece370a8a2ccea010e52b</x:v>
      </x:c>
      <x:c r="E204" s="29" t="str">
        <x:v>2026-10-24</x:v>
      </x:c>
      <x:c r="F204" s="29" t="str">
        <x:v>/Users/yuntzuyu/Downloads/e-loan/Year/E-loan YYYY_Nexstar 2025.xls#Report1!D96; label=A96; dates=D6,D76; unit=O4</x:v>
      </x:c>
      <x:c r="G204" s="29" t="str">
        <x:v>{"value": "1893900.0", "unit": "USD", "scale": "1000", "definition": "Operating Expense", "basis": "", "excerpt": "Operating Expense: 1893900.0; consolidation=A1; entity=A4; period=2022-01-01~2022-12-31; raw cell retained", "source_url": "/Users/yuntzuyu/Downloads/e-loan/Year/E-loan YYYY_Nexstar 2025.xls", "reason": ""}</x:v>
      </x:c>
    </x:row>
    <x:row r="205" ht="70" customHeight="1">
      <x:c r="A205" s="29" t="str">
        <x:v>workbook:05762549de4ad1aacf1c06b458b70e142b9bc3658d3ece370a8a2ccea010e52b:I96</x:v>
      </x:c>
      <x:c r="B205" s="29" t="str">
        <x:v>fact</x:v>
      </x:c>
      <x:c r="C205" s="29" t="str">
        <x:v>workbook:05762549de4ad1aacf1c06b458b70e142b9bc3658d3ece370a8a2ccea010e52b</x:v>
      </x:c>
      <x:c r="D205" s="29" t="str">
        <x:v>05762549de4ad1aacf1c06b458b70e142b9bc3658d3ece370a8a2ccea010e52b</x:v>
      </x:c>
      <x:c r="E205" s="29" t="str">
        <x:v>2026-10-24</x:v>
      </x:c>
      <x:c r="F205" s="29" t="str">
        <x:v>/Users/yuntzuyu/Downloads/e-loan/Year/E-loan YYYY_Nexstar 2025.xls#Report1!I96; label=A96; dates=I6,I76; unit=O4</x:v>
      </x:c>
      <x:c r="G205" s="29" t="str">
        <x:v>{"value": "2072000.0", "unit": "USD", "scale": "1000", "definition": "Operating Expense", "basis": "", "excerpt": "Operating Expense: 2072000.0; consolidation=A1; entity=A4; period=2023-01-01~2023-12-31; raw cell retained", "source_url": "/Users/yuntzuyu/Downloads/e-loan/Year/E-loan YYYY_Nexstar 2025.xls", "reason": ""}</x:v>
      </x:c>
    </x:row>
    <x:row r="206" ht="70" customHeight="1">
      <x:c r="A206" s="29" t="str">
        <x:v>workbook:05762549de4ad1aacf1c06b458b70e142b9bc3658d3ece370a8a2ccea010e52b:M96</x:v>
      </x:c>
      <x:c r="B206" s="29" t="str">
        <x:v>fact</x:v>
      </x:c>
      <x:c r="C206" s="29" t="str">
        <x:v>workbook:05762549de4ad1aacf1c06b458b70e142b9bc3658d3ece370a8a2ccea010e52b</x:v>
      </x:c>
      <x:c r="D206" s="29" t="str">
        <x:v>05762549de4ad1aacf1c06b458b70e142b9bc3658d3ece370a8a2ccea010e52b</x:v>
      </x:c>
      <x:c r="E206" s="29" t="str">
        <x:v>2026-10-24</x:v>
      </x:c>
      <x:c r="F206" s="29" t="str">
        <x:v>/Users/yuntzuyu/Downloads/e-loan/Year/E-loan YYYY_Nexstar 2025.xls#Report1!M96; label=A96; dates=M6,M76; unit=O4</x:v>
      </x:c>
      <x:c r="G206" s="29" t="str">
        <x:v>{"value": "1918000.0", "unit": "USD", "scale": "1000", "definition": "Operating Expense", "basis": "", "excerpt": "Operating Expense: 1918000.0; consolidation=A1; entity=A4; period=2024-01-01~2024-12-31; raw cell retained", "source_url": "/Users/yuntzuyu/Downloads/e-loan/Year/E-loan YYYY_Nexstar 2025.xls", "reason": ""}</x:v>
      </x:c>
    </x:row>
    <x:row r="207" ht="70" customHeight="1">
      <x:c r="A207" s="29" t="str">
        <x:v>workbook:05762549de4ad1aacf1c06b458b70e142b9bc3658d3ece370a8a2ccea010e52b:R96</x:v>
      </x:c>
      <x:c r="B207" s="29" t="str">
        <x:v>fact</x:v>
      </x:c>
      <x:c r="C207" s="29" t="str">
        <x:v>workbook:05762549de4ad1aacf1c06b458b70e142b9bc3658d3ece370a8a2ccea010e52b</x:v>
      </x:c>
      <x:c r="D207" s="29" t="str">
        <x:v>05762549de4ad1aacf1c06b458b70e142b9bc3658d3ece370a8a2ccea010e52b</x:v>
      </x:c>
      <x:c r="E207" s="29" t="str">
        <x:v>2026-10-24</x:v>
      </x:c>
      <x:c r="F207" s="29" t="str">
        <x:v>/Users/yuntzuyu/Downloads/e-loan/Year/E-loan YYYY_Nexstar 2025.xls#Report1!R96; label=A96; dates=R6,R76; unit=O4</x:v>
      </x:c>
      <x:c r="G207" s="29" t="str">
        <x:v>{"value": "1865000.0", "unit": "USD", "scale": "1000", "definition": "Operating Expense", "basis": "", "excerpt": "Operating Expense: 1865000.0; consolidation=A1; entity=A4; period=2025-01-01~2025-12-31; raw cell retained", "source_url": "/Users/yuntzuyu/Downloads/e-loan/Year/E-loan YYYY_Nexstar 2025.xls", "reason": ""}</x:v>
      </x:c>
    </x:row>
    <x:row r="208" ht="70" customHeight="1">
      <x:c r="A208" s="29" t="str">
        <x:v>workbook:05762549de4ad1aacf1c06b458b70e142b9bc3658d3ece370a8a2ccea010e52b:D97</x:v>
      </x:c>
      <x:c r="B208" s="29" t="str">
        <x:v>fact</x:v>
      </x:c>
      <x:c r="C208" s="29" t="str">
        <x:v>workbook:05762549de4ad1aacf1c06b458b70e142b9bc3658d3ece370a8a2ccea010e52b</x:v>
      </x:c>
      <x:c r="D208" s="29" t="str">
        <x:v>05762549de4ad1aacf1c06b458b70e142b9bc3658d3ece370a8a2ccea010e52b</x:v>
      </x:c>
      <x:c r="E208" s="29" t="str">
        <x:v>2026-10-24</x:v>
      </x:c>
      <x:c r="F208" s="29" t="str">
        <x:v>/Users/yuntzuyu/Downloads/e-loan/Year/E-loan YYYY_Nexstar 2025.xls#Report1!D97; label=A97; dates=D6,D76; unit=O4</x:v>
      </x:c>
      <x:c r="G208" s="29" t="str">
        <x:v>{"value": "1312100.0", "unit": "USD", "scale": "1000", "definition": "Operating Profit", "basis": "", "excerpt": "Operating Profit: 1312100.0; consolidation=A1; entity=A4; period=2022-01-01~2022-12-31; raw cell retained", "source_url": "/Users/yuntzuyu/Downloads/e-loan/Year/E-loan YYYY_Nexstar 2025.xls", "reason": ""}</x:v>
      </x:c>
    </x:row>
    <x:row r="209" ht="70" customHeight="1">
      <x:c r="A209" s="29" t="str">
        <x:v>workbook:05762549de4ad1aacf1c06b458b70e142b9bc3658d3ece370a8a2ccea010e52b:I97</x:v>
      </x:c>
      <x:c r="B209" s="29" t="str">
        <x:v>fact</x:v>
      </x:c>
      <x:c r="C209" s="29" t="str">
        <x:v>workbook:05762549de4ad1aacf1c06b458b70e142b9bc3658d3ece370a8a2ccea010e52b</x:v>
      </x:c>
      <x:c r="D209" s="29" t="str">
        <x:v>05762549de4ad1aacf1c06b458b70e142b9bc3658d3ece370a8a2ccea010e52b</x:v>
      </x:c>
      <x:c r="E209" s="29" t="str">
        <x:v>2026-10-24</x:v>
      </x:c>
      <x:c r="F209" s="29" t="str">
        <x:v>/Users/yuntzuyu/Downloads/e-loan/Year/E-loan YYYY_Nexstar 2025.xls#Report1!I97; label=A97; dates=I6,I76; unit=O4</x:v>
      </x:c>
      <x:c r="G209" s="29" t="str">
        <x:v>{"value": "708000.0", "unit": "USD", "scale": "1000", "definition": "Operating Profit", "basis": "", "excerpt": "Operating Profit: 708000.0; consolidation=A1; entity=A4; period=2023-01-01~2023-12-31; raw cell retained", "source_url": "/Users/yuntzuyu/Downloads/e-loan/Year/E-loan YYYY_Nexstar 2025.xls", "reason": ""}</x:v>
      </x:c>
    </x:row>
    <x:row r="210" ht="70" customHeight="1">
      <x:c r="A210" s="29" t="str">
        <x:v>workbook:05762549de4ad1aacf1c06b458b70e142b9bc3658d3ece370a8a2ccea010e52b:M97</x:v>
      </x:c>
      <x:c r="B210" s="29" t="str">
        <x:v>fact</x:v>
      </x:c>
      <x:c r="C210" s="29" t="str">
        <x:v>workbook:05762549de4ad1aacf1c06b458b70e142b9bc3658d3ece370a8a2ccea010e52b</x:v>
      </x:c>
      <x:c r="D210" s="29" t="str">
        <x:v>05762549de4ad1aacf1c06b458b70e142b9bc3658d3ece370a8a2ccea010e52b</x:v>
      </x:c>
      <x:c r="E210" s="29" t="str">
        <x:v>2026-10-24</x:v>
      </x:c>
      <x:c r="F210" s="29" t="str">
        <x:v>/Users/yuntzuyu/Downloads/e-loan/Year/E-loan YYYY_Nexstar 2025.xls#Report1!M97; label=A97; dates=M6,M76; unit=O4</x:v>
      </x:c>
      <x:c r="G210" s="29" t="str">
        <x:v>{"value": "1268000.0", "unit": "USD", "scale": "1000", "definition": "Operating Profit", "basis": "", "excerpt": "Operating Profit: 1268000.0; consolidation=A1; entity=A4; period=2024-01-01~2024-12-31; raw cell retained", "source_url": "/Users/yuntzuyu/Downloads/e-loan/Year/E-loan YYYY_Nexstar 2025.xls", "reason": ""}</x:v>
      </x:c>
    </x:row>
    <x:row r="211" ht="70" customHeight="1">
      <x:c r="A211" s="29" t="str">
        <x:v>workbook:05762549de4ad1aacf1c06b458b70e142b9bc3658d3ece370a8a2ccea010e52b:R97</x:v>
      </x:c>
      <x:c r="B211" s="29" t="str">
        <x:v>fact</x:v>
      </x:c>
      <x:c r="C211" s="29" t="str">
        <x:v>workbook:05762549de4ad1aacf1c06b458b70e142b9bc3658d3ece370a8a2ccea010e52b</x:v>
      </x:c>
      <x:c r="D211" s="29" t="str">
        <x:v>05762549de4ad1aacf1c06b458b70e142b9bc3658d3ece370a8a2ccea010e52b</x:v>
      </x:c>
      <x:c r="E211" s="29" t="str">
        <x:v>2026-10-24</x:v>
      </x:c>
      <x:c r="F211" s="29" t="str">
        <x:v>/Users/yuntzuyu/Downloads/e-loan/Year/E-loan YYYY_Nexstar 2025.xls#Report1!R97; label=A97; dates=R6,R76; unit=O4</x:v>
      </x:c>
      <x:c r="G211" s="29" t="str">
        <x:v>{"value": "849000.0", "unit": "USD", "scale": "1000", "definition": "Operating Profit", "basis": "", "excerpt": "Operating Profit: 849000.0; consolidation=A1; entity=A4; period=2025-01-01~2025-12-31; raw cell retained", "source_url": "/Users/yuntzuyu/Downloads/e-loan/Year/E-loan YYYY_Nexstar 2025.xls", "reason": ""}</x:v>
      </x:c>
    </x:row>
    <x:row r="212" ht="70" customHeight="1">
      <x:c r="A212" s="29" t="str">
        <x:v>workbook:05762549de4ad1aacf1c06b458b70e142b9bc3658d3ece370a8a2ccea010e52b:D106</x:v>
      </x:c>
      <x:c r="B212" s="29" t="str">
        <x:v>fact</x:v>
      </x:c>
      <x:c r="C212" s="29" t="str">
        <x:v>workbook:05762549de4ad1aacf1c06b458b70e142b9bc3658d3ece370a8a2ccea010e52b</x:v>
      </x:c>
      <x:c r="D212" s="29" t="str">
        <x:v>05762549de4ad1aacf1c06b458b70e142b9bc3658d3ece370a8a2ccea010e52b</x:v>
      </x:c>
      <x:c r="E212" s="29" t="str">
        <x:v>2026-10-24</x:v>
      </x:c>
      <x:c r="F212" s="29" t="str">
        <x:v>/Users/yuntzuyu/Downloads/e-loan/Year/E-loan YYYY_Nexstar 2025.xls#Report1!D106; label=A106; dates=D6,D76; unit=O4</x:v>
      </x:c>
      <x:c r="G212" s="29" t="str">
        <x:v>{"value": "336600.0", "unit": "USD", "scale": "1000", "definition": "Interest Expense", "basis": "", "excerpt": "Interest Expense: 336600.0; consolidation=A1; entity=A4; period=2022-01-01~2022-12-31; raw cell retained", "source_url": "/Users/yuntzuyu/Downloads/e-loan/Year/E-loan YYYY_Nexstar 2025.xls", "reason": ""}</x:v>
      </x:c>
    </x:row>
    <x:row r="213" ht="70" customHeight="1">
      <x:c r="A213" s="29" t="str">
        <x:v>workbook:05762549de4ad1aacf1c06b458b70e142b9bc3658d3ece370a8a2ccea010e52b:I106</x:v>
      </x:c>
      <x:c r="B213" s="29" t="str">
        <x:v>fact</x:v>
      </x:c>
      <x:c r="C213" s="29" t="str">
        <x:v>workbook:05762549de4ad1aacf1c06b458b70e142b9bc3658d3ece370a8a2ccea010e52b</x:v>
      </x:c>
      <x:c r="D213" s="29" t="str">
        <x:v>05762549de4ad1aacf1c06b458b70e142b9bc3658d3ece370a8a2ccea010e52b</x:v>
      </x:c>
      <x:c r="E213" s="29" t="str">
        <x:v>2026-10-24</x:v>
      </x:c>
      <x:c r="F213" s="29" t="str">
        <x:v>/Users/yuntzuyu/Downloads/e-loan/Year/E-loan YYYY_Nexstar 2025.xls#Report1!I106; label=A106; dates=I6,I76; unit=O4</x:v>
      </x:c>
      <x:c r="G213" s="29" t="str">
        <x:v>{"value": "447000.0", "unit": "USD", "scale": "1000", "definition": "Interest Expense", "basis": "", "excerpt": "Interest Expense: 447000.0; consolidation=A1; entity=A4; period=2023-01-01~2023-12-31; raw cell retained", "source_url": "/Users/yuntzuyu/Downloads/e-loan/Year/E-loan YYYY_Nexstar 2025.xls", "reason": ""}</x:v>
      </x:c>
    </x:row>
    <x:row r="214" ht="70" customHeight="1">
      <x:c r="A214" s="29" t="str">
        <x:v>workbook:05762549de4ad1aacf1c06b458b70e142b9bc3658d3ece370a8a2ccea010e52b:M106</x:v>
      </x:c>
      <x:c r="B214" s="29" t="str">
        <x:v>fact</x:v>
      </x:c>
      <x:c r="C214" s="29" t="str">
        <x:v>workbook:05762549de4ad1aacf1c06b458b70e142b9bc3658d3ece370a8a2ccea010e52b</x:v>
      </x:c>
      <x:c r="D214" s="29" t="str">
        <x:v>05762549de4ad1aacf1c06b458b70e142b9bc3658d3ece370a8a2ccea010e52b</x:v>
      </x:c>
      <x:c r="E214" s="29" t="str">
        <x:v>2026-10-24</x:v>
      </x:c>
      <x:c r="F214" s="29" t="str">
        <x:v>/Users/yuntzuyu/Downloads/e-loan/Year/E-loan YYYY_Nexstar 2025.xls#Report1!M106; label=A106; dates=M6,M76; unit=O4</x:v>
      </x:c>
      <x:c r="G214" s="29" t="str">
        <x:v>{"value": "444000.0", "unit": "USD", "scale": "1000", "definition": "Interest Expense", "basis": "", "excerpt": "Interest Expense: 444000.0; consolidation=A1; entity=A4; period=2024-01-01~2024-12-31; raw cell retained", "source_url": "/Users/yuntzuyu/Downloads/e-loan/Year/E-loan YYYY_Nexstar 2025.xls", "reason": ""}</x:v>
      </x:c>
    </x:row>
    <x:row r="215" ht="70" customHeight="1">
      <x:c r="A215" s="29" t="str">
        <x:v>workbook:05762549de4ad1aacf1c06b458b70e142b9bc3658d3ece370a8a2ccea010e52b:R106</x:v>
      </x:c>
      <x:c r="B215" s="29" t="str">
        <x:v>fact</x:v>
      </x:c>
      <x:c r="C215" s="29" t="str">
        <x:v>workbook:05762549de4ad1aacf1c06b458b70e142b9bc3658d3ece370a8a2ccea010e52b</x:v>
      </x:c>
      <x:c r="D215" s="29" t="str">
        <x:v>05762549de4ad1aacf1c06b458b70e142b9bc3658d3ece370a8a2ccea010e52b</x:v>
      </x:c>
      <x:c r="E215" s="29" t="str">
        <x:v>2026-10-24</x:v>
      </x:c>
      <x:c r="F215" s="29" t="str">
        <x:v>/Users/yuntzuyu/Downloads/e-loan/Year/E-loan YYYY_Nexstar 2025.xls#Report1!R106; label=A106; dates=R6,R76; unit=O4</x:v>
      </x:c>
      <x:c r="G215" s="29" t="str">
        <x:v>{"value": "379000.0", "unit": "USD", "scale": "1000", "definition": "Interest Expense", "basis": "", "excerpt": "Interest Expense: 379000.0; consolidation=A1; entity=A4; period=2025-01-01~2025-12-31; raw cell retained", "source_url": "/Users/yuntzuyu/Downloads/e-loan/Year/E-loan YYYY_Nexstar 2025.xls", "reason": ""}</x:v>
      </x:c>
    </x:row>
    <x:row r="216" ht="70" customHeight="1">
      <x:c r="A216" s="29" t="str">
        <x:v>workbook:05762549de4ad1aacf1c06b458b70e142b9bc3658d3ece370a8a2ccea010e52b:D111</x:v>
      </x:c>
      <x:c r="B216" s="29" t="str">
        <x:v>fact</x:v>
      </x:c>
      <x:c r="C216" s="29" t="str">
        <x:v>workbook:05762549de4ad1aacf1c06b458b70e142b9bc3658d3ece370a8a2ccea010e52b</x:v>
      </x:c>
      <x:c r="D216" s="29" t="str">
        <x:v>05762549de4ad1aacf1c06b458b70e142b9bc3658d3ece370a8a2ccea010e52b</x:v>
      </x:c>
      <x:c r="E216" s="29" t="str">
        <x:v>2026-10-24</x:v>
      </x:c>
      <x:c r="F216" s="29" t="str">
        <x:v>/Users/yuntzuyu/Downloads/e-loan/Year/E-loan YYYY_Nexstar 2025.xls#Report1!D111; label=A111; dates=D6,D76; unit=O4</x:v>
      </x:c>
      <x:c r="G216" s="29" t="str">
        <x:v>{"value": "1217100.0", "unit": "USD", "scale": "1000", "definition": "Pre-tax Profit (Loss)", "basis": "", "excerpt": "Pre-tax Profit (Loss): 1217100.0; consolidation=A1; entity=A4; period=2022-01-01~2022-12-31; raw cell retained", "source_url": "/Users/yuntzuyu/Downloads/e-loan/Year/E-loan YYYY_Nexstar 2025.xls", "reason": ""}</x:v>
      </x:c>
    </x:row>
    <x:row r="217" ht="70" customHeight="1">
      <x:c r="A217" s="29" t="str">
        <x:v>workbook:05762549de4ad1aacf1c06b458b70e142b9bc3658d3ece370a8a2ccea010e52b:I111</x:v>
      </x:c>
      <x:c r="B217" s="29" t="str">
        <x:v>fact</x:v>
      </x:c>
      <x:c r="C217" s="29" t="str">
        <x:v>workbook:05762549de4ad1aacf1c06b458b70e142b9bc3658d3ece370a8a2ccea010e52b</x:v>
      </x:c>
      <x:c r="D217" s="29" t="str">
        <x:v>05762549de4ad1aacf1c06b458b70e142b9bc3658d3ece370a8a2ccea010e52b</x:v>
      </x:c>
      <x:c r="E217" s="29" t="str">
        <x:v>2026-10-24</x:v>
      </x:c>
      <x:c r="F217" s="29" t="str">
        <x:v>/Users/yuntzuyu/Downloads/e-loan/Year/E-loan YYYY_Nexstar 2025.xls#Report1!I111; label=A111; dates=I6,I76; unit=O4</x:v>
      </x:c>
      <x:c r="G217" s="29" t="str">
        <x:v>{"value": "401000.0", "unit": "USD", "scale": "1000", "definition": "Pre-tax Profit (Loss)", "basis": "", "excerpt": "Pre-tax Profit (Loss): 401000.0; consolidation=A1; entity=A4; period=2023-01-01~2023-12-31; raw cell retained", "source_url": "/Users/yuntzuyu/Downloads/e-loan/Year/E-loan YYYY_Nexstar 2025.xls", "reason": ""}</x:v>
      </x:c>
    </x:row>
    <x:row r="218" ht="70" customHeight="1">
      <x:c r="A218" s="29" t="str">
        <x:v>workbook:05762549de4ad1aacf1c06b458b70e142b9bc3658d3ece370a8a2ccea010e52b:M111</x:v>
      </x:c>
      <x:c r="B218" s="29" t="str">
        <x:v>fact</x:v>
      </x:c>
      <x:c r="C218" s="29" t="str">
        <x:v>workbook:05762549de4ad1aacf1c06b458b70e142b9bc3658d3ece370a8a2ccea010e52b</x:v>
      </x:c>
      <x:c r="D218" s="29" t="str">
        <x:v>05762549de4ad1aacf1c06b458b70e142b9bc3658d3ece370a8a2ccea010e52b</x:v>
      </x:c>
      <x:c r="E218" s="29" t="str">
        <x:v>2026-10-24</x:v>
      </x:c>
      <x:c r="F218" s="29" t="str">
        <x:v>/Users/yuntzuyu/Downloads/e-loan/Year/E-loan YYYY_Nexstar 2025.xls#Report1!M111; label=A111; dates=M6,M76; unit=O4</x:v>
      </x:c>
      <x:c r="G218" s="29" t="str">
        <x:v>{"value": "959000.0", "unit": "USD", "scale": "1000", "definition": "Pre-tax Profit (Loss)", "basis": "", "excerpt": "Pre-tax Profit (Loss): 959000.0; consolidation=A1; entity=A4; period=2024-01-01~2024-12-31; raw cell retained", "source_url": "/Users/yuntzuyu/Downloads/e-loan/Year/E-loan YYYY_Nexstar 2025.xls", "reason": ""}</x:v>
      </x:c>
    </x:row>
    <x:row r="219" ht="70" customHeight="1">
      <x:c r="A219" s="29" t="str">
        <x:v>workbook:05762549de4ad1aacf1c06b458b70e142b9bc3658d3ece370a8a2ccea010e52b:R111</x:v>
      </x:c>
      <x:c r="B219" s="29" t="str">
        <x:v>fact</x:v>
      </x:c>
      <x:c r="C219" s="29" t="str">
        <x:v>workbook:05762549de4ad1aacf1c06b458b70e142b9bc3658d3ece370a8a2ccea010e52b</x:v>
      </x:c>
      <x:c r="D219" s="29" t="str">
        <x:v>05762549de4ad1aacf1c06b458b70e142b9bc3658d3ece370a8a2ccea010e52b</x:v>
      </x:c>
      <x:c r="E219" s="29" t="str">
        <x:v>2026-10-24</x:v>
      </x:c>
      <x:c r="F219" s="29" t="str">
        <x:v>/Users/yuntzuyu/Downloads/e-loan/Year/E-loan YYYY_Nexstar 2025.xls#Report1!R111; label=A111; dates=R6,R76; unit=O4</x:v>
      </x:c>
      <x:c r="G219" s="29" t="str">
        <x:v>{"value": "150000.0", "unit": "USD", "scale": "1000", "definition": "Pre-tax Profit (Loss)", "basis": "", "excerpt": "Pre-tax Profit (Loss): 150000.0; consolidation=A1; entity=A4; period=2025-01-01~2025-12-31; raw cell retained", "source_url": "/Users/yuntzuyu/Downloads/e-loan/Year/E-loan YYYY_Nexstar 2025.xls", "reason": ""}</x:v>
      </x:c>
    </x:row>
    <x:row r="220" ht="70" customHeight="1">
      <x:c r="A220" s="29" t="str">
        <x:v>workbook:05762549de4ad1aacf1c06b458b70e142b9bc3658d3ece370a8a2ccea010e52b:D112</x:v>
      </x:c>
      <x:c r="B220" s="29" t="str">
        <x:v>fact</x:v>
      </x:c>
      <x:c r="C220" s="29" t="str">
        <x:v>workbook:05762549de4ad1aacf1c06b458b70e142b9bc3658d3ece370a8a2ccea010e52b</x:v>
      </x:c>
      <x:c r="D220" s="29" t="str">
        <x:v>05762549de4ad1aacf1c06b458b70e142b9bc3658d3ece370a8a2ccea010e52b</x:v>
      </x:c>
      <x:c r="E220" s="29" t="str">
        <x:v>2026-10-24</x:v>
      </x:c>
      <x:c r="F220" s="29" t="str">
        <x:v>/Users/yuntzuyu/Downloads/e-loan/Year/E-loan YYYY_Nexstar 2025.xls#Report1!D112; label=A112; dates=D6,D76; unit=O4</x:v>
      </x:c>
      <x:c r="G220" s="29" t="str">
        <x:v>{"value": "273600.0", "unit": "USD", "scale": "1000", "definition": "Income Tax Expense(Credit)", "basis": "", "excerpt": "Income Tax Expense(Credit): 273600.0; consolidation=A1; entity=A4; period=2022-01-01~2022-12-31; raw cell retained", "source_url": "/Users/yuntzuyu/Downloads/e-loan/Year/E-loan YYYY_Nexstar 2025.xls", "reason": ""}</x:v>
      </x:c>
    </x:row>
    <x:row r="221" ht="70" customHeight="1">
      <x:c r="A221" s="29" t="str">
        <x:v>workbook:05762549de4ad1aacf1c06b458b70e142b9bc3658d3ece370a8a2ccea010e52b:I112</x:v>
      </x:c>
      <x:c r="B221" s="29" t="str">
        <x:v>fact</x:v>
      </x:c>
      <x:c r="C221" s="29" t="str">
        <x:v>workbook:05762549de4ad1aacf1c06b458b70e142b9bc3658d3ece370a8a2ccea010e52b</x:v>
      </x:c>
      <x:c r="D221" s="29" t="str">
        <x:v>05762549de4ad1aacf1c06b458b70e142b9bc3658d3ece370a8a2ccea010e52b</x:v>
      </x:c>
      <x:c r="E221" s="29" t="str">
        <x:v>2026-10-24</x:v>
      </x:c>
      <x:c r="F221" s="29" t="str">
        <x:v>/Users/yuntzuyu/Downloads/e-loan/Year/E-loan YYYY_Nexstar 2025.xls#Report1!I112; label=A112; dates=I6,I76; unit=O4</x:v>
      </x:c>
      <x:c r="G221" s="29" t="str">
        <x:v>{"value": "131000.0", "unit": "USD", "scale": "1000", "definition": "Income Tax Expense(Credit)", "basis": "", "excerpt": "Income Tax Expense(Credit): 131000.0; consolidation=A1; entity=A4; period=2023-01-01~2023-12-31; raw cell retained", "source_url": "/Users/yuntzuyu/Downloads/e-loan/Year/E-loan YYYY_Nexstar 2025.xls", "reason": ""}</x:v>
      </x:c>
    </x:row>
    <x:row r="222" ht="70" customHeight="1">
      <x:c r="A222" s="29" t="str">
        <x:v>workbook:05762549de4ad1aacf1c06b458b70e142b9bc3658d3ece370a8a2ccea010e52b:M112</x:v>
      </x:c>
      <x:c r="B222" s="29" t="str">
        <x:v>fact</x:v>
      </x:c>
      <x:c r="C222" s="29" t="str">
        <x:v>workbook:05762549de4ad1aacf1c06b458b70e142b9bc3658d3ece370a8a2ccea010e52b</x:v>
      </x:c>
      <x:c r="D222" s="29" t="str">
        <x:v>05762549de4ad1aacf1c06b458b70e142b9bc3658d3ece370a8a2ccea010e52b</x:v>
      </x:c>
      <x:c r="E222" s="29" t="str">
        <x:v>2026-10-24</x:v>
      </x:c>
      <x:c r="F222" s="29" t="str">
        <x:v>/Users/yuntzuyu/Downloads/e-loan/Year/E-loan YYYY_Nexstar 2025.xls#Report1!M112; label=A112; dates=M6,M76; unit=O4</x:v>
      </x:c>
      <x:c r="G222" s="29" t="str">
        <x:v>{"value": "276000.0", "unit": "USD", "scale": "1000", "definition": "Income Tax Expense(Credit)", "basis": "", "excerpt": "Income Tax Expense(Credit): 276000.0; consolidation=A1; entity=A4; period=2024-01-01~2024-12-31; raw cell retained", "source_url": "/Users/yuntzuyu/Downloads/e-loan/Year/E-loan YYYY_Nexstar 2025.xls", "reason": ""}</x:v>
      </x:c>
    </x:row>
    <x:row r="223" ht="70" customHeight="1">
      <x:c r="A223" s="29" t="str">
        <x:v>workbook:05762549de4ad1aacf1c06b458b70e142b9bc3658d3ece370a8a2ccea010e52b:R112</x:v>
      </x:c>
      <x:c r="B223" s="29" t="str">
        <x:v>fact</x:v>
      </x:c>
      <x:c r="C223" s="29" t="str">
        <x:v>workbook:05762549de4ad1aacf1c06b458b70e142b9bc3658d3ece370a8a2ccea010e52b</x:v>
      </x:c>
      <x:c r="D223" s="29" t="str">
        <x:v>05762549de4ad1aacf1c06b458b70e142b9bc3658d3ece370a8a2ccea010e52b</x:v>
      </x:c>
      <x:c r="E223" s="29" t="str">
        <x:v>2026-10-24</x:v>
      </x:c>
      <x:c r="F223" s="29" t="str">
        <x:v>/Users/yuntzuyu/Downloads/e-loan/Year/E-loan YYYY_Nexstar 2025.xls#Report1!R112; label=A112; dates=R6,R76; unit=O4</x:v>
      </x:c>
      <x:c r="G223" s="29" t="str">
        <x:v>{"value": "67000.0", "unit": "USD", "scale": "1000", "definition": "Income Tax Expense(Credit)", "basis": "", "excerpt": "Income Tax Expense(Credit): 67000.0; consolidation=A1; entity=A4; period=2025-01-01~2025-12-31; raw cell retained", "source_url": "/Users/yuntzuyu/Downloads/e-loan/Year/E-loan YYYY_Nexstar 2025.xls", "reason": ""}</x:v>
      </x:c>
    </x:row>
    <x:row r="224" ht="70" customHeight="1">
      <x:c r="A224" s="29" t="str">
        <x:v>workbook:05762549de4ad1aacf1c06b458b70e142b9bc3658d3ece370a8a2ccea010e52b:D117</x:v>
      </x:c>
      <x:c r="B224" s="29" t="str">
        <x:v>fact</x:v>
      </x:c>
      <x:c r="C224" s="29" t="str">
        <x:v>workbook:05762549de4ad1aacf1c06b458b70e142b9bc3658d3ece370a8a2ccea010e52b</x:v>
      </x:c>
      <x:c r="D224" s="29" t="str">
        <x:v>05762549de4ad1aacf1c06b458b70e142b9bc3658d3ece370a8a2ccea010e52b</x:v>
      </x:c>
      <x:c r="E224" s="29" t="str">
        <x:v>2026-10-24</x:v>
      </x:c>
      <x:c r="F224" s="29" t="str">
        <x:v>/Users/yuntzuyu/Downloads/e-loan/Year/E-loan YYYY_Nexstar 2025.xls#Report1!D117; label=A117; dates=D6,D76; unit=O4</x:v>
      </x:c>
      <x:c r="G224" s="29" t="str">
        <x:v>{"value": "943500.0", "unit": "USD", "scale": "1000", "definition": "After-tax Net Profit (Loss)", "basis": "", "excerpt": "After-tax Net Profit (Loss): 943500.0; consolidation=A1; entity=A4; period=2022-01-01~2022-12-31; raw cell retained", "source_url": "/Users/yuntzuyu/Downloads/e-loan/Year/E-loan YYYY_Nexstar 2025.xls", "reason": ""}</x:v>
      </x:c>
    </x:row>
    <x:row r="225" ht="70" customHeight="1">
      <x:c r="A225" s="29" t="str">
        <x:v>workbook:05762549de4ad1aacf1c06b458b70e142b9bc3658d3ece370a8a2ccea010e52b:I117</x:v>
      </x:c>
      <x:c r="B225" s="29" t="str">
        <x:v>fact</x:v>
      </x:c>
      <x:c r="C225" s="29" t="str">
        <x:v>workbook:05762549de4ad1aacf1c06b458b70e142b9bc3658d3ece370a8a2ccea010e52b</x:v>
      </x:c>
      <x:c r="D225" s="29" t="str">
        <x:v>05762549de4ad1aacf1c06b458b70e142b9bc3658d3ece370a8a2ccea010e52b</x:v>
      </x:c>
      <x:c r="E225" s="29" t="str">
        <x:v>2026-10-24</x:v>
      </x:c>
      <x:c r="F225" s="29" t="str">
        <x:v>/Users/yuntzuyu/Downloads/e-loan/Year/E-loan YYYY_Nexstar 2025.xls#Report1!I117; label=A117; dates=I6,I76; unit=O4</x:v>
      </x:c>
      <x:c r="G225" s="29" t="str">
        <x:v>{"value": "270000.0", "unit": "USD", "scale": "1000", "definition": "After-tax Net Profit (Loss)", "basis": "", "excerpt": "After-tax Net Profit (Loss): 270000.0; consolidation=A1; entity=A4; period=2023-01-01~2023-12-31; raw cell retained", "source_url": "/Users/yuntzuyu/Downloads/e-loan/Year/E-loan YYYY_Nexstar 2025.xls", "reason": ""}</x:v>
      </x:c>
    </x:row>
    <x:row r="226" ht="70" customHeight="1">
      <x:c r="A226" s="29" t="str">
        <x:v>workbook:05762549de4ad1aacf1c06b458b70e142b9bc3658d3ece370a8a2ccea010e52b:M117</x:v>
      </x:c>
      <x:c r="B226" s="29" t="str">
        <x:v>fact</x:v>
      </x:c>
      <x:c r="C226" s="29" t="str">
        <x:v>workbook:05762549de4ad1aacf1c06b458b70e142b9bc3658d3ece370a8a2ccea010e52b</x:v>
      </x:c>
      <x:c r="D226" s="29" t="str">
        <x:v>05762549de4ad1aacf1c06b458b70e142b9bc3658d3ece370a8a2ccea010e52b</x:v>
      </x:c>
      <x:c r="E226" s="29" t="str">
        <x:v>2026-10-24</x:v>
      </x:c>
      <x:c r="F226" s="29" t="str">
        <x:v>/Users/yuntzuyu/Downloads/e-loan/Year/E-loan YYYY_Nexstar 2025.xls#Report1!M117; label=A117; dates=M6,M76; unit=O4</x:v>
      </x:c>
      <x:c r="G226" s="29" t="str">
        <x:v>{"value": "683000.0", "unit": "USD", "scale": "1000", "definition": "After-tax Net Profit (Loss)", "basis": "", "excerpt": "After-tax Net Profit (Loss): 683000.0; consolidation=A1; entity=A4; period=2024-01-01~2024-12-31; raw cell retained", "source_url": "/Users/yuntzuyu/Downloads/e-loan/Year/E-loan YYYY_Nexstar 2025.xls", "reason": ""}</x:v>
      </x:c>
    </x:row>
    <x:row r="227" ht="70" customHeight="1">
      <x:c r="A227" s="29" t="str">
        <x:v>workbook:05762549de4ad1aacf1c06b458b70e142b9bc3658d3ece370a8a2ccea010e52b:R117</x:v>
      </x:c>
      <x:c r="B227" s="29" t="str">
        <x:v>fact</x:v>
      </x:c>
      <x:c r="C227" s="29" t="str">
        <x:v>workbook:05762549de4ad1aacf1c06b458b70e142b9bc3658d3ece370a8a2ccea010e52b</x:v>
      </x:c>
      <x:c r="D227" s="29" t="str">
        <x:v>05762549de4ad1aacf1c06b458b70e142b9bc3658d3ece370a8a2ccea010e52b</x:v>
      </x:c>
      <x:c r="E227" s="29" t="str">
        <x:v>2026-10-24</x:v>
      </x:c>
      <x:c r="F227" s="29" t="str">
        <x:v>/Users/yuntzuyu/Downloads/e-loan/Year/E-loan YYYY_Nexstar 2025.xls#Report1!R117; label=A117; dates=R6,R76; unit=O4</x:v>
      </x:c>
      <x:c r="G227" s="29" t="str">
        <x:v>{"value": "83000.0", "unit": "USD", "scale": "1000", "definition": "After-tax Net Profit (Loss)", "basis": "", "excerpt": "After-tax Net Profit (Loss): 83000.0; consolidation=A1; entity=A4; period=2025-01-01~2025-12-31; raw cell retained", "source_url": "/Users/yuntzuyu/Downloads/e-loan/Year/E-loan YYYY_Nexstar 2025.xls", "reason": ""}</x:v>
      </x:c>
    </x:row>
    <x:row r="228" ht="84" customHeight="1">
      <x:c r="A228" s="29" t="str">
        <x:v>workbook:05762549de4ad1aacf1c06b458b70e142b9bc3658d3ece370a8a2ccea010e52b:D129</x:v>
      </x:c>
      <x:c r="B228" s="29" t="str">
        <x:v>fact</x:v>
      </x:c>
      <x:c r="C228" s="29" t="str">
        <x:v>workbook:05762549de4ad1aacf1c06b458b70e142b9bc3658d3ece370a8a2ccea010e52b</x:v>
      </x:c>
      <x:c r="D228" s="29" t="str">
        <x:v>05762549de4ad1aacf1c06b458b70e142b9bc3658d3ece370a8a2ccea010e52b</x:v>
      </x:c>
      <x:c r="E228" s="29" t="str">
        <x:v>2026-10-24</x:v>
      </x:c>
      <x:c r="F228" s="29" t="str">
        <x:v>/Users/yuntzuyu/Downloads/e-loan/Year/E-loan YYYY_Nexstar 2025.xls#Report1!D129; label=A129; dates=D6,D76; unit=O4</x:v>
      </x:c>
      <x:c r="G228" s="29" t="str">
        <x:v>{"value": "190868", "unit": "USD", "scale": "1000", "definition": "Cash and cash equivalents - beginning of period", "basis": "", "excerpt": "Cash and cash equivalents - beginning of period: '190,868'; consolidation=A1; entity=A4; period=2022-01-01~2022-12-31; raw cell retained", "source_url": "/Users/yuntzuyu/Downloads/e-loan/Year/E-loan YYYY_Nexstar 2025.xls", "reason": ""}</x:v>
      </x:c>
    </x:row>
    <x:row r="229" ht="84" customHeight="1">
      <x:c r="A229" s="29" t="str">
        <x:v>workbook:05762549de4ad1aacf1c06b458b70e142b9bc3658d3ece370a8a2ccea010e52b:I129</x:v>
      </x:c>
      <x:c r="B229" s="29" t="str">
        <x:v>fact</x:v>
      </x:c>
      <x:c r="C229" s="29" t="str">
        <x:v>workbook:05762549de4ad1aacf1c06b458b70e142b9bc3658d3ece370a8a2ccea010e52b</x:v>
      </x:c>
      <x:c r="D229" s="29" t="str">
        <x:v>05762549de4ad1aacf1c06b458b70e142b9bc3658d3ece370a8a2ccea010e52b</x:v>
      </x:c>
      <x:c r="E229" s="29" t="str">
        <x:v>2026-10-24</x:v>
      </x:c>
      <x:c r="F229" s="29" t="str">
        <x:v>/Users/yuntzuyu/Downloads/e-loan/Year/E-loan YYYY_Nexstar 2025.xls#Report1!I129; label=A129; dates=I6,I76; unit=O4</x:v>
      </x:c>
      <x:c r="G229" s="29" t="str">
        <x:v>{"value": "204100", "unit": "USD", "scale": "1000", "definition": "Cash and cash equivalents - beginning of period", "basis": "", "excerpt": "Cash and cash equivalents - beginning of period: '204,100'; consolidation=A1; entity=A4; period=2023-01-01~2023-12-31; raw cell retained", "source_url": "/Users/yuntzuyu/Downloads/e-loan/Year/E-loan YYYY_Nexstar 2025.xls", "reason": ""}</x:v>
      </x:c>
    </x:row>
    <x:row r="230" ht="84" customHeight="1">
      <x:c r="A230" s="29" t="str">
        <x:v>workbook:05762549de4ad1aacf1c06b458b70e142b9bc3658d3ece370a8a2ccea010e52b:M129</x:v>
      </x:c>
      <x:c r="B230" s="29" t="str">
        <x:v>fact</x:v>
      </x:c>
      <x:c r="C230" s="29" t="str">
        <x:v>workbook:05762549de4ad1aacf1c06b458b70e142b9bc3658d3ece370a8a2ccea010e52b</x:v>
      </x:c>
      <x:c r="D230" s="29" t="str">
        <x:v>05762549de4ad1aacf1c06b458b70e142b9bc3658d3ece370a8a2ccea010e52b</x:v>
      </x:c>
      <x:c r="E230" s="29" t="str">
        <x:v>2026-10-24</x:v>
      </x:c>
      <x:c r="F230" s="29" t="str">
        <x:v>/Users/yuntzuyu/Downloads/e-loan/Year/E-loan YYYY_Nexstar 2025.xls#Report1!M129; label=A129; dates=M6,M76; unit=O4</x:v>
      </x:c>
      <x:c r="G230" s="29" t="str">
        <x:v>{"value": "147000", "unit": "USD", "scale": "1000", "definition": "Cash and cash equivalents - beginning of period", "basis": "", "excerpt": "Cash and cash equivalents - beginning of period: '147,000'; consolidation=A1; entity=A4; period=2024-01-01~2024-12-31; raw cell retained", "source_url": "/Users/yuntzuyu/Downloads/e-loan/Year/E-loan YYYY_Nexstar 2025.xls", "reason": ""}</x:v>
      </x:c>
    </x:row>
    <x:row r="231" ht="84" customHeight="1">
      <x:c r="A231" s="29" t="str">
        <x:v>workbook:05762549de4ad1aacf1c06b458b70e142b9bc3658d3ece370a8a2ccea010e52b:R129</x:v>
      </x:c>
      <x:c r="B231" s="29" t="str">
        <x:v>fact</x:v>
      </x:c>
      <x:c r="C231" s="29" t="str">
        <x:v>workbook:05762549de4ad1aacf1c06b458b70e142b9bc3658d3ece370a8a2ccea010e52b</x:v>
      </x:c>
      <x:c r="D231" s="29" t="str">
        <x:v>05762549de4ad1aacf1c06b458b70e142b9bc3658d3ece370a8a2ccea010e52b</x:v>
      </x:c>
      <x:c r="E231" s="29" t="str">
        <x:v>2026-10-24</x:v>
      </x:c>
      <x:c r="F231" s="29" t="str">
        <x:v>/Users/yuntzuyu/Downloads/e-loan/Year/E-loan YYYY_Nexstar 2025.xls#Report1!R129; label=A129; dates=R6,R76; unit=O4</x:v>
      </x:c>
      <x:c r="G231" s="29" t="str">
        <x:v>{"value": "144000", "unit": "USD", "scale": "1000", "definition": "Cash and cash equivalents - beginning of period", "basis": "", "excerpt": "Cash and cash equivalents - beginning of period: '144,000'; consolidation=A1; entity=A4; period=2025-01-01~2025-12-31; raw cell retained", "source_url": "/Users/yuntzuyu/Downloads/e-loan/Year/E-loan YYYY_Nexstar 2025.xls", "reason": ""}</x:v>
      </x:c>
    </x:row>
    <x:row r="232" ht="84" customHeight="1">
      <x:c r="A232" s="29" t="str">
        <x:v>workbook:05762549de4ad1aacf1c06b458b70e142b9bc3658d3ece370a8a2ccea010e52b:D159</x:v>
      </x:c>
      <x:c r="B232" s="29" t="str">
        <x:v>fact</x:v>
      </x:c>
      <x:c r="C232" s="29" t="str">
        <x:v>workbook:05762549de4ad1aacf1c06b458b70e142b9bc3658d3ece370a8a2ccea010e52b</x:v>
      </x:c>
      <x:c r="D232" s="29" t="str">
        <x:v>05762549de4ad1aacf1c06b458b70e142b9bc3658d3ece370a8a2ccea010e52b</x:v>
      </x:c>
      <x:c r="E232" s="29" t="str">
        <x:v>2026-10-24</x:v>
      </x:c>
      <x:c r="F232" s="29" t="str">
        <x:v>/Users/yuntzuyu/Downloads/e-loan/Year/E-loan YYYY_Nexstar 2025.xls#Report1!D159; label=A159; dates=D6,D76; unit=O4</x:v>
      </x:c>
      <x:c r="G232" s="29" t="str">
        <x:v>{"value": "1403000", "unit": "USD", "scale": "1000", "definition": "Net cash generated by (used in) operating activities", "basis": "", "excerpt": "Net cash generated by (used in) operating activities: '1,403,000'; consolidation=A1; entity=A4; period=2022-01-01~2022-12-31; raw cell retained", "source_url": "/Users/yuntzuyu/Downloads/e-loan/Year/E-loan YYYY_Nexstar 2025.xls", "reason": ""}</x:v>
      </x:c>
    </x:row>
    <x:row r="233" ht="84" customHeight="1">
      <x:c r="A233" s="29" t="str">
        <x:v>workbook:05762549de4ad1aacf1c06b458b70e142b9bc3658d3ece370a8a2ccea010e52b:I159</x:v>
      </x:c>
      <x:c r="B233" s="29" t="str">
        <x:v>fact</x:v>
      </x:c>
      <x:c r="C233" s="29" t="str">
        <x:v>workbook:05762549de4ad1aacf1c06b458b70e142b9bc3658d3ece370a8a2ccea010e52b</x:v>
      </x:c>
      <x:c r="D233" s="29" t="str">
        <x:v>05762549de4ad1aacf1c06b458b70e142b9bc3658d3ece370a8a2ccea010e52b</x:v>
      </x:c>
      <x:c r="E233" s="29" t="str">
        <x:v>2026-10-24</x:v>
      </x:c>
      <x:c r="F233" s="29" t="str">
        <x:v>/Users/yuntzuyu/Downloads/e-loan/Year/E-loan YYYY_Nexstar 2025.xls#Report1!I159; label=A159; dates=I6,I76; unit=O4</x:v>
      </x:c>
      <x:c r="G233" s="29" t="str">
        <x:v>{"value": "999000", "unit": "USD", "scale": "1000", "definition": "Net cash generated by (used in) operating activities", "basis": "", "excerpt": "Net cash generated by (used in) operating activities: '999,000'; consolidation=A1; entity=A4; period=2023-01-01~2023-12-31; raw cell retained", "source_url": "/Users/yuntzuyu/Downloads/e-loan/Year/E-loan YYYY_Nexstar 2025.xls", "reason": ""}</x:v>
      </x:c>
    </x:row>
    <x:row r="234" ht="84" customHeight="1">
      <x:c r="A234" s="29" t="str">
        <x:v>workbook:05762549de4ad1aacf1c06b458b70e142b9bc3658d3ece370a8a2ccea010e52b:M159</x:v>
      </x:c>
      <x:c r="B234" s="29" t="str">
        <x:v>fact</x:v>
      </x:c>
      <x:c r="C234" s="29" t="str">
        <x:v>workbook:05762549de4ad1aacf1c06b458b70e142b9bc3658d3ece370a8a2ccea010e52b</x:v>
      </x:c>
      <x:c r="D234" s="29" t="str">
        <x:v>05762549de4ad1aacf1c06b458b70e142b9bc3658d3ece370a8a2ccea010e52b</x:v>
      </x:c>
      <x:c r="E234" s="29" t="str">
        <x:v>2026-10-24</x:v>
      </x:c>
      <x:c r="F234" s="29" t="str">
        <x:v>/Users/yuntzuyu/Downloads/e-loan/Year/E-loan YYYY_Nexstar 2025.xls#Report1!M159; label=A159; dates=M6,M76; unit=O4</x:v>
      </x:c>
      <x:c r="G234" s="29" t="str">
        <x:v>{"value": "1250000", "unit": "USD", "scale": "1000", "definition": "Net cash generated by (used in) operating activities", "basis": "", "excerpt": "Net cash generated by (used in) operating activities: '1,250,000'; consolidation=A1; entity=A4; period=2024-01-01~2024-12-31; raw cell retained", "source_url": "/Users/yuntzuyu/Downloads/e-loan/Year/E-loan YYYY_Nexstar 2025.xls", "reason": ""}</x:v>
      </x:c>
    </x:row>
    <x:row r="235" ht="84" customHeight="1">
      <x:c r="A235" s="29" t="str">
        <x:v>workbook:05762549de4ad1aacf1c06b458b70e142b9bc3658d3ece370a8a2ccea010e52b:R159</x:v>
      </x:c>
      <x:c r="B235" s="29" t="str">
        <x:v>fact</x:v>
      </x:c>
      <x:c r="C235" s="29" t="str">
        <x:v>workbook:05762549de4ad1aacf1c06b458b70e142b9bc3658d3ece370a8a2ccea010e52b</x:v>
      </x:c>
      <x:c r="D235" s="29" t="str">
        <x:v>05762549de4ad1aacf1c06b458b70e142b9bc3658d3ece370a8a2ccea010e52b</x:v>
      </x:c>
      <x:c r="E235" s="29" t="str">
        <x:v>2026-10-24</x:v>
      </x:c>
      <x:c r="F235" s="29" t="str">
        <x:v>/Users/yuntzuyu/Downloads/e-loan/Year/E-loan YYYY_Nexstar 2025.xls#Report1!R159; label=A159; dates=R6,R76; unit=O4</x:v>
      </x:c>
      <x:c r="G235" s="29" t="str">
        <x:v>{"value": "891000", "unit": "USD", "scale": "1000", "definition": "Net cash generated by (used in) operating activities", "basis": "", "excerpt": "Net cash generated by (used in) operating activities: '891,000'; consolidation=A1; entity=A4; period=2025-01-01~2025-12-31; raw cell retained", "source_url": "/Users/yuntzuyu/Downloads/e-loan/Year/E-loan YYYY_Nexstar 2025.xls", "reason": ""}</x:v>
      </x:c>
    </x:row>
    <x:row r="236" ht="84" customHeight="1">
      <x:c r="A236" s="29" t="str">
        <x:v>workbook:05762549de4ad1aacf1c06b458b70e142b9bc3658d3ece370a8a2ccea010e52b:D173</x:v>
      </x:c>
      <x:c r="B236" s="29" t="str">
        <x:v>fact</x:v>
      </x:c>
      <x:c r="C236" s="29" t="str">
        <x:v>workbook:05762549de4ad1aacf1c06b458b70e142b9bc3658d3ece370a8a2ccea010e52b</x:v>
      </x:c>
      <x:c r="D236" s="29" t="str">
        <x:v>05762549de4ad1aacf1c06b458b70e142b9bc3658d3ece370a8a2ccea010e52b</x:v>
      </x:c>
      <x:c r="E236" s="29" t="str">
        <x:v>2026-10-24</x:v>
      </x:c>
      <x:c r="F236" s="29" t="str">
        <x:v>/Users/yuntzuyu/Downloads/e-loan/Year/E-loan YYYY_Nexstar 2025.xls#Report1!D173; label=A173; dates=D6,D76; unit=O4</x:v>
      </x:c>
      <x:c r="G236" s="29" t="str">
        <x:v>{"value": "125200", "unit": "USD", "scale": "1000", "definition": "Net cash generated by (used in) investing activities", "basis": "", "excerpt": "Net cash generated by (used in) investing activities: '125,200'; consolidation=A1; entity=A4; period=2022-01-01~2022-12-31; raw cell retained", "source_url": "/Users/yuntzuyu/Downloads/e-loan/Year/E-loan YYYY_Nexstar 2025.xls", "reason": ""}</x:v>
      </x:c>
    </x:row>
    <x:row r="237" ht="84" customHeight="1">
      <x:c r="A237" s="29" t="str">
        <x:v>workbook:05762549de4ad1aacf1c06b458b70e142b9bc3658d3ece370a8a2ccea010e52b:I173</x:v>
      </x:c>
      <x:c r="B237" s="29" t="str">
        <x:v>fact</x:v>
      </x:c>
      <x:c r="C237" s="29" t="str">
        <x:v>workbook:05762549de4ad1aacf1c06b458b70e142b9bc3658d3ece370a8a2ccea010e52b</x:v>
      </x:c>
      <x:c r="D237" s="29" t="str">
        <x:v>05762549de4ad1aacf1c06b458b70e142b9bc3658d3ece370a8a2ccea010e52b</x:v>
      </x:c>
      <x:c r="E237" s="29" t="str">
        <x:v>2026-10-24</x:v>
      </x:c>
      <x:c r="F237" s="29" t="str">
        <x:v>/Users/yuntzuyu/Downloads/e-loan/Year/E-loan YYYY_Nexstar 2025.xls#Report1!I173; label=A173; dates=I6,I76; unit=O4</x:v>
      </x:c>
      <x:c r="G237" s="29" t="str">
        <x:v>{"value": "-173000", "unit": "USD", "scale": "1000", "definition": "Net cash generated by (used in) investing activities", "basis": "", "excerpt": "Net cash generated by (used in) investing activities: '-173,000'; consolidation=A1; entity=A4; period=2023-01-01~2023-12-31; raw cell retained", "source_url": "/Users/yuntzuyu/Downloads/e-loan/Year/E-loan YYYY_Nexstar 2025.xls", "reason": ""}</x:v>
      </x:c>
    </x:row>
    <x:row r="238" ht="84" customHeight="1">
      <x:c r="A238" s="29" t="str">
        <x:v>workbook:05762549de4ad1aacf1c06b458b70e142b9bc3658d3ece370a8a2ccea010e52b:M173</x:v>
      </x:c>
      <x:c r="B238" s="29" t="str">
        <x:v>fact</x:v>
      </x:c>
      <x:c r="C238" s="29" t="str">
        <x:v>workbook:05762549de4ad1aacf1c06b458b70e142b9bc3658d3ece370a8a2ccea010e52b</x:v>
      </x:c>
      <x:c r="D238" s="29" t="str">
        <x:v>05762549de4ad1aacf1c06b458b70e142b9bc3658d3ece370a8a2ccea010e52b</x:v>
      </x:c>
      <x:c r="E238" s="29" t="str">
        <x:v>2026-10-24</x:v>
      </x:c>
      <x:c r="F238" s="29" t="str">
        <x:v>/Users/yuntzuyu/Downloads/e-loan/Year/E-loan YYYY_Nexstar 2025.xls#Report1!M173; label=A173; dates=M6,M76; unit=O4</x:v>
      </x:c>
      <x:c r="G238" s="29" t="str">
        <x:v>{"value": "-102000", "unit": "USD", "scale": "1000", "definition": "Net cash generated by (used in) investing activities", "basis": "", "excerpt": "Net cash generated by (used in) investing activities: '-102,000'; consolidation=A1; entity=A4; period=2024-01-01~2024-12-31; raw cell retained", "source_url": "/Users/yuntzuyu/Downloads/e-loan/Year/E-loan YYYY_Nexstar 2025.xls", "reason": ""}</x:v>
      </x:c>
    </x:row>
    <x:row r="239" ht="84" customHeight="1">
      <x:c r="A239" s="29" t="str">
        <x:v>workbook:05762549de4ad1aacf1c06b458b70e142b9bc3658d3ece370a8a2ccea010e52b:R173</x:v>
      </x:c>
      <x:c r="B239" s="29" t="str">
        <x:v>fact</x:v>
      </x:c>
      <x:c r="C239" s="29" t="str">
        <x:v>workbook:05762549de4ad1aacf1c06b458b70e142b9bc3658d3ece370a8a2ccea010e52b</x:v>
      </x:c>
      <x:c r="D239" s="29" t="str">
        <x:v>05762549de4ad1aacf1c06b458b70e142b9bc3658d3ece370a8a2ccea010e52b</x:v>
      </x:c>
      <x:c r="E239" s="29" t="str">
        <x:v>2026-10-24</x:v>
      </x:c>
      <x:c r="F239" s="29" t="str">
        <x:v>/Users/yuntzuyu/Downloads/e-loan/Year/E-loan YYYY_Nexstar 2025.xls#Report1!R173; label=A173; dates=R6,R76; unit=O4</x:v>
      </x:c>
      <x:c r="G239" s="29" t="str">
        <x:v>{"value": "-173000", "unit": "USD", "scale": "1000", "definition": "Net cash generated by (used in) investing activities", "basis": "", "excerpt": "Net cash generated by (used in) investing activities: '-173,000'; consolidation=A1; entity=A4; period=2025-01-01~2025-12-31; raw cell retained", "source_url": "/Users/yuntzuyu/Downloads/e-loan/Year/E-loan YYYY_Nexstar 2025.xls", "reason": ""}</x:v>
      </x:c>
    </x:row>
    <x:row r="240" ht="84" customHeight="1">
      <x:c r="A240" s="29" t="str">
        <x:v>workbook:05762549de4ad1aacf1c06b458b70e142b9bc3658d3ece370a8a2ccea010e52b:D189</x:v>
      </x:c>
      <x:c r="B240" s="29" t="str">
        <x:v>fact</x:v>
      </x:c>
      <x:c r="C240" s="29" t="str">
        <x:v>workbook:05762549de4ad1aacf1c06b458b70e142b9bc3658d3ece370a8a2ccea010e52b</x:v>
      </x:c>
      <x:c r="D240" s="29" t="str">
        <x:v>05762549de4ad1aacf1c06b458b70e142b9bc3658d3ece370a8a2ccea010e52b</x:v>
      </x:c>
      <x:c r="E240" s="29" t="str">
        <x:v>2026-10-24</x:v>
      </x:c>
      <x:c r="F240" s="29" t="str">
        <x:v>/Users/yuntzuyu/Downloads/e-loan/Year/E-loan YYYY_Nexstar 2025.xls#Report1!D189; label=A189; dates=D6,D76; unit=O4</x:v>
      </x:c>
      <x:c r="G240" s="29" t="str">
        <x:v>{"value": "-1515000", "unit": "USD", "scale": "1000", "definition": "Net cash generated by (used in) financing activities", "basis": "", "excerpt": "Net cash generated by (used in) financing activities: '-1,515,000'; consolidation=A1; entity=A4; period=2022-01-01~2022-12-31; raw cell retained", "source_url": "/Users/yuntzuyu/Downloads/e-loan/Year/E-loan YYYY_Nexstar 2025.xls", "reason": ""}</x:v>
      </x:c>
    </x:row>
    <x:row r="241" ht="84" customHeight="1">
      <x:c r="A241" s="29" t="str">
        <x:v>workbook:05762549de4ad1aacf1c06b458b70e142b9bc3658d3ece370a8a2ccea010e52b:I189</x:v>
      </x:c>
      <x:c r="B241" s="29" t="str">
        <x:v>fact</x:v>
      </x:c>
      <x:c r="C241" s="29" t="str">
        <x:v>workbook:05762549de4ad1aacf1c06b458b70e142b9bc3658d3ece370a8a2ccea010e52b</x:v>
      </x:c>
      <x:c r="D241" s="29" t="str">
        <x:v>05762549de4ad1aacf1c06b458b70e142b9bc3658d3ece370a8a2ccea010e52b</x:v>
      </x:c>
      <x:c r="E241" s="29" t="str">
        <x:v>2026-10-24</x:v>
      </x:c>
      <x:c r="F241" s="29" t="str">
        <x:v>/Users/yuntzuyu/Downloads/e-loan/Year/E-loan YYYY_Nexstar 2025.xls#Report1!I189; label=A189; dates=I6,I76; unit=O4</x:v>
      </x:c>
      <x:c r="G241" s="29" t="str">
        <x:v>{"value": "-899000", "unit": "USD", "scale": "1000", "definition": "Net cash generated by (used in) financing activities", "basis": "", "excerpt": "Net cash generated by (used in) financing activities: '-899,000'; consolidation=A1; entity=A4; period=2023-01-01~2023-12-31; raw cell retained", "source_url": "/Users/yuntzuyu/Downloads/e-loan/Year/E-loan YYYY_Nexstar 2025.xls", "reason": ""}</x:v>
      </x:c>
    </x:row>
    <x:row r="242" ht="84" customHeight="1">
      <x:c r="A242" s="29" t="str">
        <x:v>workbook:05762549de4ad1aacf1c06b458b70e142b9bc3658d3ece370a8a2ccea010e52b:M189</x:v>
      </x:c>
      <x:c r="B242" s="29" t="str">
        <x:v>fact</x:v>
      </x:c>
      <x:c r="C242" s="29" t="str">
        <x:v>workbook:05762549de4ad1aacf1c06b458b70e142b9bc3658d3ece370a8a2ccea010e52b</x:v>
      </x:c>
      <x:c r="D242" s="29" t="str">
        <x:v>05762549de4ad1aacf1c06b458b70e142b9bc3658d3ece370a8a2ccea010e52b</x:v>
      </x:c>
      <x:c r="E242" s="29" t="str">
        <x:v>2026-10-24</x:v>
      </x:c>
      <x:c r="F242" s="29" t="str">
        <x:v>/Users/yuntzuyu/Downloads/e-loan/Year/E-loan YYYY_Nexstar 2025.xls#Report1!M189; label=A189; dates=M6,M76; unit=O4</x:v>
      </x:c>
      <x:c r="G242" s="29" t="str">
        <x:v>{"value": "-1151000", "unit": "USD", "scale": "1000", "definition": "Net cash generated by (used in) financing activities", "basis": "", "excerpt": "Net cash generated by (used in) financing activities: '-1,151,000'; consolidation=A1; entity=A4; period=2024-01-01~2024-12-31; raw cell retained", "source_url": "/Users/yuntzuyu/Downloads/e-loan/Year/E-loan YYYY_Nexstar 2025.xls", "reason": ""}</x:v>
      </x:c>
    </x:row>
    <x:row r="243" ht="84" customHeight="1">
      <x:c r="A243" s="29" t="str">
        <x:v>workbook:05762549de4ad1aacf1c06b458b70e142b9bc3658d3ece370a8a2ccea010e52b:R189</x:v>
      </x:c>
      <x:c r="B243" s="29" t="str">
        <x:v>fact</x:v>
      </x:c>
      <x:c r="C243" s="29" t="str">
        <x:v>workbook:05762549de4ad1aacf1c06b458b70e142b9bc3658d3ece370a8a2ccea010e52b</x:v>
      </x:c>
      <x:c r="D243" s="29" t="str">
        <x:v>05762549de4ad1aacf1c06b458b70e142b9bc3658d3ece370a8a2ccea010e52b</x:v>
      </x:c>
      <x:c r="E243" s="29" t="str">
        <x:v>2026-10-24</x:v>
      </x:c>
      <x:c r="F243" s="29" t="str">
        <x:v>/Users/yuntzuyu/Downloads/e-loan/Year/E-loan YYYY_Nexstar 2025.xls#Report1!R189; label=A189; dates=R6,R76; unit=O4</x:v>
      </x:c>
      <x:c r="G243" s="29" t="str">
        <x:v>{"value": "-582000", "unit": "USD", "scale": "1000", "definition": "Net cash generated by (used in) financing activities", "basis": "", "excerpt": "Net cash generated by (used in) financing activities: '-582,000'; consolidation=A1; entity=A4; period=2025-01-01~2025-12-31; raw cell retained", "source_url": "/Users/yuntzuyu/Downloads/e-loan/Year/E-loan YYYY_Nexstar 2025.xls", "reason": ""}</x:v>
      </x:c>
    </x:row>
    <x:row r="244" ht="70" customHeight="1">
      <x:c r="A244" s="29" t="str">
        <x:v>workbook:05762549de4ad1aacf1c06b458b70e142b9bc3658d3ece370a8a2ccea010e52b:D194</x:v>
      </x:c>
      <x:c r="B244" s="29" t="str">
        <x:v>fact</x:v>
      </x:c>
      <x:c r="C244" s="29" t="str">
        <x:v>workbook:05762549de4ad1aacf1c06b458b70e142b9bc3658d3ece370a8a2ccea010e52b</x:v>
      </x:c>
      <x:c r="D244" s="29" t="str">
        <x:v>05762549de4ad1aacf1c06b458b70e142b9bc3658d3ece370a8a2ccea010e52b</x:v>
      </x:c>
      <x:c r="E244" s="29" t="str">
        <x:v>2026-10-24</x:v>
      </x:c>
      <x:c r="F244" s="29" t="str">
        <x:v>/Users/yuntzuyu/Downloads/e-loan/Year/E-loan YYYY_Nexstar 2025.xls#Report1!D194; label=A194; dates=D6,D76; unit=O4</x:v>
      </x:c>
      <x:c r="G244" s="29" t="str">
        <x:v>{"value": "204100", "unit": "USD", "scale": "1000", "definition": "Cash and cash equivalents - end of period", "basis": "", "excerpt": "Cash and cash equivalents - end of period: '204,100'; consolidation=A1; entity=A4; period=2022-01-01~2022-12-31; raw cell retained", "source_url": "/Users/yuntzuyu/Downloads/e-loan/Year/E-loan YYYY_Nexstar 2025.xls", "reason": ""}</x:v>
      </x:c>
    </x:row>
    <x:row r="245" ht="70" customHeight="1">
      <x:c r="A245" s="29" t="str">
        <x:v>workbook:05762549de4ad1aacf1c06b458b70e142b9bc3658d3ece370a8a2ccea010e52b:I194</x:v>
      </x:c>
      <x:c r="B245" s="29" t="str">
        <x:v>fact</x:v>
      </x:c>
      <x:c r="C245" s="29" t="str">
        <x:v>workbook:05762549de4ad1aacf1c06b458b70e142b9bc3658d3ece370a8a2ccea010e52b</x:v>
      </x:c>
      <x:c r="D245" s="29" t="str">
        <x:v>05762549de4ad1aacf1c06b458b70e142b9bc3658d3ece370a8a2ccea010e52b</x:v>
      </x:c>
      <x:c r="E245" s="29" t="str">
        <x:v>2026-10-24</x:v>
      </x:c>
      <x:c r="F245" s="29" t="str">
        <x:v>/Users/yuntzuyu/Downloads/e-loan/Year/E-loan YYYY_Nexstar 2025.xls#Report1!I194; label=A194; dates=I6,I76; unit=O4</x:v>
      </x:c>
      <x:c r="G245" s="29" t="str">
        <x:v>{"value": "135000", "unit": "USD", "scale": "1000", "definition": "Cash and cash equivalents - end of period", "basis": "", "excerpt": "Cash and cash equivalents - end of period: '135,000'; consolidation=A1; entity=A4; period=2023-01-01~2023-12-31; raw cell retained", "source_url": "/Users/yuntzuyu/Downloads/e-loan/Year/E-loan YYYY_Nexstar 2025.xls", "reason": ""}</x:v>
      </x:c>
    </x:row>
    <x:row r="246" ht="70" customHeight="1">
      <x:c r="A246" s="29" t="str">
        <x:v>workbook:05762549de4ad1aacf1c06b458b70e142b9bc3658d3ece370a8a2ccea010e52b:M194</x:v>
      </x:c>
      <x:c r="B246" s="29" t="str">
        <x:v>fact</x:v>
      </x:c>
      <x:c r="C246" s="29" t="str">
        <x:v>workbook:05762549de4ad1aacf1c06b458b70e142b9bc3658d3ece370a8a2ccea010e52b</x:v>
      </x:c>
      <x:c r="D246" s="29" t="str">
        <x:v>05762549de4ad1aacf1c06b458b70e142b9bc3658d3ece370a8a2ccea010e52b</x:v>
      </x:c>
      <x:c r="E246" s="29" t="str">
        <x:v>2026-10-24</x:v>
      </x:c>
      <x:c r="F246" s="29" t="str">
        <x:v>/Users/yuntzuyu/Downloads/e-loan/Year/E-loan YYYY_Nexstar 2025.xls#Report1!M194; label=A194; dates=M6,M76; unit=O4</x:v>
      </x:c>
      <x:c r="G246" s="29" t="str">
        <x:v>{"value": "144000", "unit": "USD", "scale": "1000", "definition": "Cash and cash equivalents - end of period", "basis": "", "excerpt": "Cash and cash equivalents - end of period: '144,000'; consolidation=A1; entity=A4; period=2024-01-01~2024-12-31; raw cell retained", "source_url": "/Users/yuntzuyu/Downloads/e-loan/Year/E-loan YYYY_Nexstar 2025.xls", "reason": ""}</x:v>
      </x:c>
    </x:row>
    <x:row r="247" ht="70" customHeight="1">
      <x:c r="A247" s="29" t="str">
        <x:v>workbook:05762549de4ad1aacf1c06b458b70e142b9bc3658d3ece370a8a2ccea010e52b:R194</x:v>
      </x:c>
      <x:c r="B247" s="29" t="str">
        <x:v>fact</x:v>
      </x:c>
      <x:c r="C247" s="29" t="str">
        <x:v>workbook:05762549de4ad1aacf1c06b458b70e142b9bc3658d3ece370a8a2ccea010e52b</x:v>
      </x:c>
      <x:c r="D247" s="29" t="str">
        <x:v>05762549de4ad1aacf1c06b458b70e142b9bc3658d3ece370a8a2ccea010e52b</x:v>
      </x:c>
      <x:c r="E247" s="29" t="str">
        <x:v>2026-10-24</x:v>
      </x:c>
      <x:c r="F247" s="29" t="str">
        <x:v>/Users/yuntzuyu/Downloads/e-loan/Year/E-loan YYYY_Nexstar 2025.xls#Report1!R194; label=A194; dates=R6,R76; unit=O4</x:v>
      </x:c>
      <x:c r="G247" s="29" t="str">
        <x:v>{"value": "280000", "unit": "USD", "scale": "1000", "definition": "Cash and cash equivalents - end of period", "basis": "", "excerpt": "Cash and cash equivalents - end of period: '280,000'; consolidation=A1; entity=A4; period=2025-01-01~2025-12-31; raw cell retained", "source_url": "/Users/yuntzuyu/Downloads/e-loan/Year/E-loan YYYY_Nexstar 2025.xls", "reason": ""}</x:v>
      </x:c>
    </x:row>
    <x:row r="248" ht="70" customHeight="1">
      <x:c r="A248" s="29" t="str">
        <x:v>workbook:05762549de4ad1aacf1c06b458b70e142b9bc3658d3ece370a8a2ccea010e52b:D10</x:v>
      </x:c>
      <x:c r="B248" s="29" t="str">
        <x:v>fact</x:v>
      </x:c>
      <x:c r="C248" s="29" t="str">
        <x:v>workbook:05762549de4ad1aacf1c06b458b70e142b9bc3658d3ece370a8a2ccea010e52b</x:v>
      </x:c>
      <x:c r="D248" s="29" t="str">
        <x:v>05762549de4ad1aacf1c06b458b70e142b9bc3658d3ece370a8a2ccea010e52b</x:v>
      </x:c>
      <x:c r="E248" s="29" t="str">
        <x:v>2026-10-24</x:v>
      </x:c>
      <x:c r="F248" s="29" t="str">
        <x:v>/Users/yuntzuyu/Downloads/e-loan/Year/E-loan YYYY_Nexstar 2025.xls#Report1!D10; label=A10; dates=D6,D76; unit=O4</x:v>
      </x:c>
      <x:c r="G248" s="29" t="str">
        <x:v>{"value": "1614500.0", "unit": "USD", "scale": "1000", "definition": "Current Assets", "basis": "", "excerpt": "Current Assets: 1614500.0; consolidation=A1; entity=A4; period=2022-01-01~2022-12-31; raw cell retained", "source_url": "/Users/yuntzuyu/Downloads/e-loan/Year/E-loan YYYY_Nexstar 2025.xls", "reason": ""}</x:v>
      </x:c>
    </x:row>
    <x:row r="249" ht="70" customHeight="1">
      <x:c r="A249" s="29" t="str">
        <x:v>workbook:05762549de4ad1aacf1c06b458b70e142b9bc3658d3ece370a8a2ccea010e52b:D40</x:v>
      </x:c>
      <x:c r="B249" s="29" t="str">
        <x:v>fact</x:v>
      </x:c>
      <x:c r="C249" s="29" t="str">
        <x:v>workbook:05762549de4ad1aacf1c06b458b70e142b9bc3658d3ece370a8a2ccea010e52b</x:v>
      </x:c>
      <x:c r="D249" s="29" t="str">
        <x:v>05762549de4ad1aacf1c06b458b70e142b9bc3658d3ece370a8a2ccea010e52b</x:v>
      </x:c>
      <x:c r="E249" s="29" t="str">
        <x:v>2026-10-24</x:v>
      </x:c>
      <x:c r="F249" s="29" t="str">
        <x:v>/Users/yuntzuyu/Downloads/e-loan/Year/E-loan YYYY_Nexstar 2025.xls#Report1!D40; label=A40; dates=D6,D76; unit=O4</x:v>
      </x:c>
      <x:c r="G249" s="29" t="str">
        <x:v>{"value": "893200.0", "unit": "USD", "scale": "1000", "definition": "Current Liabilities", "basis": "", "excerpt": "Current Liabilities: 893200.0; consolidation=A1; entity=A4; period=2022-01-01~2022-12-31; raw cell retained", "source_url": "/Users/yuntzuyu/Downloads/e-loan/Year/E-loan YYYY_Nexstar 2025.xls", "reason": ""}</x:v>
      </x:c>
    </x:row>
    <x:row r="250" ht="70" customHeight="1">
      <x:c r="A250" s="29" t="str">
        <x:v>workbook:05762549de4ad1aacf1c06b458b70e142b9bc3658d3ece370a8a2ccea010e52b:D62</x:v>
      </x:c>
      <x:c r="B250" s="29" t="str">
        <x:v>fact</x:v>
      </x:c>
      <x:c r="C250" s="29" t="str">
        <x:v>workbook:05762549de4ad1aacf1c06b458b70e142b9bc3658d3ece370a8a2ccea010e52b</x:v>
      </x:c>
      <x:c r="D250" s="29" t="str">
        <x:v>05762549de4ad1aacf1c06b458b70e142b9bc3658d3ece370a8a2ccea010e52b</x:v>
      </x:c>
      <x:c r="E250" s="29" t="str">
        <x:v>2026-10-24</x:v>
      </x:c>
      <x:c r="F250" s="29" t="str">
        <x:v>/Users/yuntzuyu/Downloads/e-loan/Year/E-loan YYYY_Nexstar 2025.xls#Report1!D62; label=A62; dates=D6,D76; unit=O4</x:v>
      </x:c>
      <x:c r="G250" s="29" t="str">
        <x:v>{"value": "9909600.0", "unit": "USD", "scale": "1000", "definition": "Total Liabilities", "basis": "", "excerpt": "Total Liabilities: 9909600.0; consolidation=A1; entity=A4; period=2022-01-01~2022-12-31; raw cell retained", "source_url": "/Users/yuntzuyu/Downloads/e-loan/Year/E-loan YYYY_Nexstar 2025.xls", "reason": ""}</x:v>
      </x:c>
    </x:row>
    <x:row r="251" ht="70" customHeight="1">
      <x:c r="A251" s="29" t="str">
        <x:v>workbook:05762549de4ad1aacf1c06b458b70e142b9bc3658d3ece370a8a2ccea010e52b:D70</x:v>
      </x:c>
      <x:c r="B251" s="29" t="str">
        <x:v>fact</x:v>
      </x:c>
      <x:c r="C251" s="29" t="str">
        <x:v>workbook:05762549de4ad1aacf1c06b458b70e142b9bc3658d3ece370a8a2ccea010e52b</x:v>
      </x:c>
      <x:c r="D251" s="29" t="str">
        <x:v>05762549de4ad1aacf1c06b458b70e142b9bc3658d3ece370a8a2ccea010e52b</x:v>
      </x:c>
      <x:c r="E251" s="29" t="str">
        <x:v>2026-10-24</x:v>
      </x:c>
      <x:c r="F251" s="29" t="str">
        <x:v>/Users/yuntzuyu/Downloads/e-loan/Year/E-loan YYYY_Nexstar 2025.xls#Report1!D70; label=A70; dates=D6,D76; unit=O4</x:v>
      </x:c>
      <x:c r="G251" s="29" t="str">
        <x:v>{"value": "2769300.0", "unit": "USD", "scale": "1000", "definition": "Total Net Worth", "basis": "", "excerpt": "Total Net Worth: 2769300.0; consolidation=A1; entity=A4; period=2022-01-01~2022-12-31; raw cell retained", "source_url": "/Users/yuntzuyu/Downloads/e-loan/Year/E-loan YYYY_Nexstar 2025.xls", "reason": ""}</x:v>
      </x:c>
    </x:row>
    <x:row r="252" ht="70" customHeight="1">
      <x:c r="A252" s="29" t="str">
        <x:v>workbook:05762549de4ad1aacf1c06b458b70e142b9bc3658d3ece370a8a2ccea010e52b:D120</x:v>
      </x:c>
      <x:c r="B252" s="29" t="str">
        <x:v>review</x:v>
      </x:c>
      <x:c r="C252" s="29" t="str">
        <x:v>workbook:05762549de4ad1aacf1c06b458b70e142b9bc3658d3ece370a8a2ccea010e52b</x:v>
      </x:c>
      <x:c r="D252" s="29" t="str">
        <x:v>05762549de4ad1aacf1c06b458b70e142b9bc3658d3ece370a8a2ccea010e52b</x:v>
      </x:c>
      <x:c r="E252" s="29" t="str">
        <x:v>2026-10-24</x:v>
      </x:c>
      <x:c r="F252" s="29" t="str">
        <x:v>/Users/yuntzuyu/Downloads/e-loan/Year/E-loan YYYY_Nexstar 2025.xls#Report1!D120; label=A120; dates=D6,D76; unit=O4</x:v>
      </x:c>
      <x:c r="G252" s="29" t="str">
        <x:v>{"value": null, "unit": "USD", "scale": "1000", "definition": "Capitalized Interest", "basis": "", "excerpt": "Capitalized Interest: ''; consolidation=A1; entity=A4; period=2022-01-01~2022-12-31; raw cell retained", "source_url": "/Users/yuntzuyu/Downloads/e-loan/Year/E-loan YYYY_Nexstar 2025.xls", "reason": "原始儲存格空白／無可用數值"}</x:v>
      </x:c>
    </x:row>
    <x:row r="253" ht="70" customHeight="1">
      <x:c r="A253" s="29" t="str">
        <x:v>workbook:05762549de4ad1aacf1c06b458b70e142b9bc3658d3ece370a8a2ccea010e52b:D121</x:v>
      </x:c>
      <x:c r="B253" s="29" t="str">
        <x:v>fact</x:v>
      </x:c>
      <x:c r="C253" s="29" t="str">
        <x:v>workbook:05762549de4ad1aacf1c06b458b70e142b9bc3658d3ece370a8a2ccea010e52b</x:v>
      </x:c>
      <x:c r="D253" s="29" t="str">
        <x:v>05762549de4ad1aacf1c06b458b70e142b9bc3658d3ece370a8a2ccea010e52b</x:v>
      </x:c>
      <x:c r="E253" s="29" t="str">
        <x:v>2026-10-24</x:v>
      </x:c>
      <x:c r="F253" s="29" t="str">
        <x:v>/Users/yuntzuyu/Downloads/e-loan/Year/E-loan YYYY_Nexstar 2025.xls#Report1!D121; label=A121; dates=D6,D76; unit=O4</x:v>
      </x:c>
      <x:c r="G253" s="29" t="str">
        <x:v>{"value": "662100.0", "unit": "USD", "scale": "1000", "definition": "Depreciation &amp; Amortization", "basis": "", "excerpt": "Depreciation &amp; Amortization: 662100.0; consolidation=A1; entity=A4; period=2022-01-01~2022-12-31; raw cell retained", "source_url": "/Users/yuntzuyu/Downloads/e-loan/Year/E-loan YYYY_Nexstar 2025.xls", "reason": ""}</x:v>
      </x:c>
    </x:row>
    <x:row r="254" ht="70" customHeight="1">
      <x:c r="A254" s="29" t="str">
        <x:v>workbook:05762549de4ad1aacf1c06b458b70e142b9bc3658d3ece370a8a2ccea010e52b:I10</x:v>
      </x:c>
      <x:c r="B254" s="29" t="str">
        <x:v>fact</x:v>
      </x:c>
      <x:c r="C254" s="29" t="str">
        <x:v>workbook:05762549de4ad1aacf1c06b458b70e142b9bc3658d3ece370a8a2ccea010e52b</x:v>
      </x:c>
      <x:c r="D254" s="29" t="str">
        <x:v>05762549de4ad1aacf1c06b458b70e142b9bc3658d3ece370a8a2ccea010e52b</x:v>
      </x:c>
      <x:c r="E254" s="29" t="str">
        <x:v>2026-10-24</x:v>
      </x:c>
      <x:c r="F254" s="29" t="str">
        <x:v>/Users/yuntzuyu/Downloads/e-loan/Year/E-loan YYYY_Nexstar 2025.xls#Report1!I10; label=A10; dates=I6,I76; unit=O4</x:v>
      </x:c>
      <x:c r="G254" s="29" t="str">
        <x:v>{"value": "1466000.0", "unit": "USD", "scale": "1000", "definition": "Current Assets", "basis": "", "excerpt": "Current Assets: 1466000.0; consolidation=A1; entity=A4; period=2023-01-01~2023-12-31; raw cell retained", "source_url": "/Users/yuntzuyu/Downloads/e-loan/Year/E-loan YYYY_Nexstar 2025.xls", "reason": ""}</x:v>
      </x:c>
    </x:row>
    <x:row r="255" ht="70" customHeight="1">
      <x:c r="A255" s="29" t="str">
        <x:v>workbook:05762549de4ad1aacf1c06b458b70e142b9bc3658d3ece370a8a2ccea010e52b:I40</x:v>
      </x:c>
      <x:c r="B255" s="29" t="str">
        <x:v>fact</x:v>
      </x:c>
      <x:c r="C255" s="29" t="str">
        <x:v>workbook:05762549de4ad1aacf1c06b458b70e142b9bc3658d3ece370a8a2ccea010e52b</x:v>
      </x:c>
      <x:c r="D255" s="29" t="str">
        <x:v>05762549de4ad1aacf1c06b458b70e142b9bc3658d3ece370a8a2ccea010e52b</x:v>
      </x:c>
      <x:c r="E255" s="29" t="str">
        <x:v>2026-10-24</x:v>
      </x:c>
      <x:c r="F255" s="29" t="str">
        <x:v>/Users/yuntzuyu/Downloads/e-loan/Year/E-loan YYYY_Nexstar 2025.xls#Report1!I40; label=A40; dates=I6,I76; unit=O4</x:v>
      </x:c>
      <x:c r="G255" s="29" t="str">
        <x:v>{"value": "961000.0", "unit": "USD", "scale": "1000", "definition": "Current Liabilities", "basis": "", "excerpt": "Current Liabilities: 961000.0; consolidation=A1; entity=A4; period=2023-01-01~2023-12-31; raw cell retained", "source_url": "/Users/yuntzuyu/Downloads/e-loan/Year/E-loan YYYY_Nexstar 2025.xls", "reason": ""}</x:v>
      </x:c>
    </x:row>
    <x:row r="256" ht="70" customHeight="1">
      <x:c r="A256" s="29" t="str">
        <x:v>workbook:05762549de4ad1aacf1c06b458b70e142b9bc3658d3ece370a8a2ccea010e52b:I62</x:v>
      </x:c>
      <x:c r="B256" s="29" t="str">
        <x:v>fact</x:v>
      </x:c>
      <x:c r="C256" s="29" t="str">
        <x:v>workbook:05762549de4ad1aacf1c06b458b70e142b9bc3658d3ece370a8a2ccea010e52b</x:v>
      </x:c>
      <x:c r="D256" s="29" t="str">
        <x:v>05762549de4ad1aacf1c06b458b70e142b9bc3658d3ece370a8a2ccea010e52b</x:v>
      </x:c>
      <x:c r="E256" s="29" t="str">
        <x:v>2026-10-24</x:v>
      </x:c>
      <x:c r="F256" s="29" t="str">
        <x:v>/Users/yuntzuyu/Downloads/e-loan/Year/E-loan YYYY_Nexstar 2025.xls#Report1!I62; label=A62; dates=I6,I76; unit=O4</x:v>
      </x:c>
      <x:c r="G256" s="29" t="str">
        <x:v>{"value": "9765000.0", "unit": "USD", "scale": "1000", "definition": "Total Liabilities", "basis": "", "excerpt": "Total Liabilities: 9765000.0; consolidation=A1; entity=A4; period=2023-01-01~2023-12-31; raw cell retained", "source_url": "/Users/yuntzuyu/Downloads/e-loan/Year/E-loan YYYY_Nexstar 2025.xls", "reason": ""}</x:v>
      </x:c>
    </x:row>
    <x:row r="257" ht="70" customHeight="1">
      <x:c r="A257" s="29" t="str">
        <x:v>workbook:05762549de4ad1aacf1c06b458b70e142b9bc3658d3ece370a8a2ccea010e52b:I70</x:v>
      </x:c>
      <x:c r="B257" s="29" t="str">
        <x:v>fact</x:v>
      </x:c>
      <x:c r="C257" s="29" t="str">
        <x:v>workbook:05762549de4ad1aacf1c06b458b70e142b9bc3658d3ece370a8a2ccea010e52b</x:v>
      </x:c>
      <x:c r="D257" s="29" t="str">
        <x:v>05762549de4ad1aacf1c06b458b70e142b9bc3658d3ece370a8a2ccea010e52b</x:v>
      </x:c>
      <x:c r="E257" s="29" t="str">
        <x:v>2026-10-24</x:v>
      </x:c>
      <x:c r="F257" s="29" t="str">
        <x:v>/Users/yuntzuyu/Downloads/e-loan/Year/E-loan YYYY_Nexstar 2025.xls#Report1!I70; label=A70; dates=I6,I76; unit=O4</x:v>
      </x:c>
      <x:c r="G257" s="29" t="str">
        <x:v>{"value": "2313000.0", "unit": "USD", "scale": "1000", "definition": "Total Net Worth", "basis": "", "excerpt": "Total Net Worth: 2313000.0; consolidation=A1; entity=A4; period=2023-01-01~2023-12-31; raw cell retained", "source_url": "/Users/yuntzuyu/Downloads/e-loan/Year/E-loan YYYY_Nexstar 2025.xls", "reason": ""}</x:v>
      </x:c>
    </x:row>
    <x:row r="258" ht="70" customHeight="1">
      <x:c r="A258" s="29" t="str">
        <x:v>workbook:05762549de4ad1aacf1c06b458b70e142b9bc3658d3ece370a8a2ccea010e52b:I120</x:v>
      </x:c>
      <x:c r="B258" s="29" t="str">
        <x:v>review</x:v>
      </x:c>
      <x:c r="C258" s="29" t="str">
        <x:v>workbook:05762549de4ad1aacf1c06b458b70e142b9bc3658d3ece370a8a2ccea010e52b</x:v>
      </x:c>
      <x:c r="D258" s="29" t="str">
        <x:v>05762549de4ad1aacf1c06b458b70e142b9bc3658d3ece370a8a2ccea010e52b</x:v>
      </x:c>
      <x:c r="E258" s="29" t="str">
        <x:v>2026-10-24</x:v>
      </x:c>
      <x:c r="F258" s="29" t="str">
        <x:v>/Users/yuntzuyu/Downloads/e-loan/Year/E-loan YYYY_Nexstar 2025.xls#Report1!I120; label=A120; dates=I6,I76; unit=O4</x:v>
      </x:c>
      <x:c r="G258" s="29" t="str">
        <x:v>{"value": null, "unit": "USD", "scale": "1000", "definition": "Capitalized Interest", "basis": "", "excerpt": "Capitalized Interest: ''; consolidation=A1; entity=A4; period=2023-01-01~2023-12-31; raw cell retained", "source_url": "/Users/yuntzuyu/Downloads/e-loan/Year/E-loan YYYY_Nexstar 2025.xls", "reason": "原始儲存格空白／無可用數值"}</x:v>
      </x:c>
    </x:row>
    <x:row r="259" ht="70" customHeight="1">
      <x:c r="A259" s="29" t="str">
        <x:v>workbook:05762549de4ad1aacf1c06b458b70e142b9bc3658d3ece370a8a2ccea010e52b:I121</x:v>
      </x:c>
      <x:c r="B259" s="29" t="str">
        <x:v>fact</x:v>
      </x:c>
      <x:c r="C259" s="29" t="str">
        <x:v>workbook:05762549de4ad1aacf1c06b458b70e142b9bc3658d3ece370a8a2ccea010e52b</x:v>
      </x:c>
      <x:c r="D259" s="29" t="str">
        <x:v>05762549de4ad1aacf1c06b458b70e142b9bc3658d3ece370a8a2ccea010e52b</x:v>
      </x:c>
      <x:c r="E259" s="29" t="str">
        <x:v>2026-10-24</x:v>
      </x:c>
      <x:c r="F259" s="29" t="str">
        <x:v>/Users/yuntzuyu/Downloads/e-loan/Year/E-loan YYYY_Nexstar 2025.xls#Report1!I121; label=A121; dates=I6,I76; unit=O4</x:v>
      </x:c>
      <x:c r="G259" s="29" t="str">
        <x:v>{"value": "941000.0", "unit": "USD", "scale": "1000", "definition": "Depreciation &amp; Amortization", "basis": "", "excerpt": "Depreciation &amp; Amortization: 941000.0; consolidation=A1; entity=A4; period=2023-01-01~2023-12-31; raw cell retained", "source_url": "/Users/yuntzuyu/Downloads/e-loan/Year/E-loan YYYY_Nexstar 2025.xls", "reason": ""}</x:v>
      </x:c>
    </x:row>
    <x:row r="260" ht="70" customHeight="1">
      <x:c r="A260" s="29" t="str">
        <x:v>workbook:05762549de4ad1aacf1c06b458b70e142b9bc3658d3ece370a8a2ccea010e52b:M10</x:v>
      </x:c>
      <x:c r="B260" s="29" t="str">
        <x:v>fact</x:v>
      </x:c>
      <x:c r="C260" s="29" t="str">
        <x:v>workbook:05762549de4ad1aacf1c06b458b70e142b9bc3658d3ece370a8a2ccea010e52b</x:v>
      </x:c>
      <x:c r="D260" s="29" t="str">
        <x:v>05762549de4ad1aacf1c06b458b70e142b9bc3658d3ece370a8a2ccea010e52b</x:v>
      </x:c>
      <x:c r="E260" s="29" t="str">
        <x:v>2026-10-24</x:v>
      </x:c>
      <x:c r="F260" s="29" t="str">
        <x:v>/Users/yuntzuyu/Downloads/e-loan/Year/E-loan YYYY_Nexstar 2025.xls#Report1!M10; label=A10; dates=M6,M76; unit=O4</x:v>
      </x:c>
      <x:c r="G260" s="29" t="str">
        <x:v>{"value": "1297000.0", "unit": "USD", "scale": "1000", "definition": "Current Assets", "basis": "", "excerpt": "Current Assets: 1297000.0; consolidation=A1; entity=A4; period=2024-01-01~2024-12-31; raw cell retained", "source_url": "/Users/yuntzuyu/Downloads/e-loan/Year/E-loan YYYY_Nexstar 2025.xls", "reason": ""}</x:v>
      </x:c>
    </x:row>
    <x:row r="261" ht="70" customHeight="1">
      <x:c r="A261" s="29" t="str">
        <x:v>workbook:05762549de4ad1aacf1c06b458b70e142b9bc3658d3ece370a8a2ccea010e52b:M40</x:v>
      </x:c>
      <x:c r="B261" s="29" t="str">
        <x:v>fact</x:v>
      </x:c>
      <x:c r="C261" s="29" t="str">
        <x:v>workbook:05762549de4ad1aacf1c06b458b70e142b9bc3658d3ece370a8a2ccea010e52b</x:v>
      </x:c>
      <x:c r="D261" s="29" t="str">
        <x:v>05762549de4ad1aacf1c06b458b70e142b9bc3658d3ece370a8a2ccea010e52b</x:v>
      </x:c>
      <x:c r="E261" s="29" t="str">
        <x:v>2026-10-24</x:v>
      </x:c>
      <x:c r="F261" s="29" t="str">
        <x:v>/Users/yuntzuyu/Downloads/e-loan/Year/E-loan YYYY_Nexstar 2025.xls#Report1!M40; label=A40; dates=M6,M76; unit=O4</x:v>
      </x:c>
      <x:c r="G261" s="29" t="str">
        <x:v>{"value": "783000.0", "unit": "USD", "scale": "1000", "definition": "Current Liabilities", "basis": "", "excerpt": "Current Liabilities: 783000.0; consolidation=A1; entity=A4; period=2024-01-01~2024-12-31; raw cell retained", "source_url": "/Users/yuntzuyu/Downloads/e-loan/Year/E-loan YYYY_Nexstar 2025.xls", "reason": ""}</x:v>
      </x:c>
    </x:row>
    <x:row r="262" ht="70" customHeight="1">
      <x:c r="A262" s="29" t="str">
        <x:v>workbook:05762549de4ad1aacf1c06b458b70e142b9bc3658d3ece370a8a2ccea010e52b:M62</x:v>
      </x:c>
      <x:c r="B262" s="29" t="str">
        <x:v>fact</x:v>
      </x:c>
      <x:c r="C262" s="29" t="str">
        <x:v>workbook:05762549de4ad1aacf1c06b458b70e142b9bc3658d3ece370a8a2ccea010e52b</x:v>
      </x:c>
      <x:c r="D262" s="29" t="str">
        <x:v>05762549de4ad1aacf1c06b458b70e142b9bc3658d3ece370a8a2ccea010e52b</x:v>
      </x:c>
      <x:c r="E262" s="29" t="str">
        <x:v>2026-10-24</x:v>
      </x:c>
      <x:c r="F262" s="29" t="str">
        <x:v>/Users/yuntzuyu/Downloads/e-loan/Year/E-loan YYYY_Nexstar 2025.xls#Report1!M62; label=A62; dates=M6,M76; unit=O4</x:v>
      </x:c>
      <x:c r="G262" s="29" t="str">
        <x:v>{"value": "9200000.0", "unit": "USD", "scale": "1000", "definition": "Total Liabilities", "basis": "", "excerpt": "Total Liabilities: 9200000.0; consolidation=A1; entity=A4; period=2024-01-01~2024-12-31; raw cell retained", "source_url": "/Users/yuntzuyu/Downloads/e-loan/Year/E-loan YYYY_Nexstar 2025.xls", "reason": ""}</x:v>
      </x:c>
    </x:row>
    <x:row r="263" ht="70" customHeight="1">
      <x:c r="A263" s="29" t="str">
        <x:v>workbook:05762549de4ad1aacf1c06b458b70e142b9bc3658d3ece370a8a2ccea010e52b:M70</x:v>
      </x:c>
      <x:c r="B263" s="29" t="str">
        <x:v>fact</x:v>
      </x:c>
      <x:c r="C263" s="29" t="str">
        <x:v>workbook:05762549de4ad1aacf1c06b458b70e142b9bc3658d3ece370a8a2ccea010e52b</x:v>
      </x:c>
      <x:c r="D263" s="29" t="str">
        <x:v>05762549de4ad1aacf1c06b458b70e142b9bc3658d3ece370a8a2ccea010e52b</x:v>
      </x:c>
      <x:c r="E263" s="29" t="str">
        <x:v>2026-10-24</x:v>
      </x:c>
      <x:c r="F263" s="29" t="str">
        <x:v>/Users/yuntzuyu/Downloads/e-loan/Year/E-loan YYYY_Nexstar 2025.xls#Report1!M70; label=A70; dates=M6,M76; unit=O4</x:v>
      </x:c>
      <x:c r="G263" s="29" t="str">
        <x:v>{"value": "2268000.0", "unit": "USD", "scale": "1000", "definition": "Total Net Worth", "basis": "", "excerpt": "Total Net Worth: 2268000.0; consolidation=A1; entity=A4; period=2024-01-01~2024-12-31; raw cell retained", "source_url": "/Users/yuntzuyu/Downloads/e-loan/Year/E-loan YYYY_Nexstar 2025.xls", "reason": ""}</x:v>
      </x:c>
    </x:row>
    <x:row r="264" ht="70" customHeight="1">
      <x:c r="A264" s="29" t="str">
        <x:v>workbook:05762549de4ad1aacf1c06b458b70e142b9bc3658d3ece370a8a2ccea010e52b:M120</x:v>
      </x:c>
      <x:c r="B264" s="29" t="str">
        <x:v>review</x:v>
      </x:c>
      <x:c r="C264" s="29" t="str">
        <x:v>workbook:05762549de4ad1aacf1c06b458b70e142b9bc3658d3ece370a8a2ccea010e52b</x:v>
      </x:c>
      <x:c r="D264" s="29" t="str">
        <x:v>05762549de4ad1aacf1c06b458b70e142b9bc3658d3ece370a8a2ccea010e52b</x:v>
      </x:c>
      <x:c r="E264" s="29" t="str">
        <x:v>2026-10-24</x:v>
      </x:c>
      <x:c r="F264" s="29" t="str">
        <x:v>/Users/yuntzuyu/Downloads/e-loan/Year/E-loan YYYY_Nexstar 2025.xls#Report1!M120; label=A120; dates=M6,M76; unit=O4</x:v>
      </x:c>
      <x:c r="G264" s="29" t="str">
        <x:v>{"value": null, "unit": "USD", "scale": "1000", "definition": "Capitalized Interest", "basis": "", "excerpt": "Capitalized Interest: ''; consolidation=A1; entity=A4; period=2024-01-01~2024-12-31; raw cell retained", "source_url": "/Users/yuntzuyu/Downloads/e-loan/Year/E-loan YYYY_Nexstar 2025.xls", "reason": "原始儲存格空白／無可用數值"}</x:v>
      </x:c>
    </x:row>
    <x:row r="265" ht="70" customHeight="1">
      <x:c r="A265" s="29" t="str">
        <x:v>workbook:05762549de4ad1aacf1c06b458b70e142b9bc3658d3ece370a8a2ccea010e52b:M121</x:v>
      </x:c>
      <x:c r="B265" s="29" t="str">
        <x:v>fact</x:v>
      </x:c>
      <x:c r="C265" s="29" t="str">
        <x:v>workbook:05762549de4ad1aacf1c06b458b70e142b9bc3658d3ece370a8a2ccea010e52b</x:v>
      </x:c>
      <x:c r="D265" s="29" t="str">
        <x:v>05762549de4ad1aacf1c06b458b70e142b9bc3658d3ece370a8a2ccea010e52b</x:v>
      </x:c>
      <x:c r="E265" s="29" t="str">
        <x:v>2026-10-24</x:v>
      </x:c>
      <x:c r="F265" s="29" t="str">
        <x:v>/Users/yuntzuyu/Downloads/e-loan/Year/E-loan YYYY_Nexstar 2025.xls#Report1!M121; label=A121; dates=M6,M76; unit=O4</x:v>
      </x:c>
      <x:c r="G265" s="29" t="str">
        <x:v>{"value": "808000.0", "unit": "USD", "scale": "1000", "definition": "Depreciation &amp; Amortization", "basis": "", "excerpt": "Depreciation &amp; Amortization: 808000.0; consolidation=A1; entity=A4; period=2024-01-01~2024-12-31; raw cell retained", "source_url": "/Users/yuntzuyu/Downloads/e-loan/Year/E-loan YYYY_Nexstar 2025.xls", "reason": ""}</x:v>
      </x:c>
    </x:row>
    <x:row r="266" ht="70" customHeight="1">
      <x:c r="A266" s="29" t="str">
        <x:v>workbook:05762549de4ad1aacf1c06b458b70e142b9bc3658d3ece370a8a2ccea010e52b:R10</x:v>
      </x:c>
      <x:c r="B266" s="29" t="str">
        <x:v>fact</x:v>
      </x:c>
      <x:c r="C266" s="29" t="str">
        <x:v>workbook:05762549de4ad1aacf1c06b458b70e142b9bc3658d3ece370a8a2ccea010e52b</x:v>
      </x:c>
      <x:c r="D266" s="29" t="str">
        <x:v>05762549de4ad1aacf1c06b458b70e142b9bc3658d3ece370a8a2ccea010e52b</x:v>
      </x:c>
      <x:c r="E266" s="29" t="str">
        <x:v>2026-10-24</x:v>
      </x:c>
      <x:c r="F266" s="29" t="str">
        <x:v>/Users/yuntzuyu/Downloads/e-loan/Year/E-loan YYYY_Nexstar 2025.xls#Report1!R10; label=A10; dates=R6,R76; unit=O4</x:v>
      </x:c>
      <x:c r="G266" s="29" t="str">
        <x:v>{"value": "1473000.0", "unit": "USD", "scale": "1000", "definition": "Current Assets", "basis": "", "excerpt": "Current Assets: 1473000.0; consolidation=A1; entity=A4; period=2025-01-01~2025-12-31; raw cell retained", "source_url": "/Users/yuntzuyu/Downloads/e-loan/Year/E-loan YYYY_Nexstar 2025.xls", "reason": ""}</x:v>
      </x:c>
    </x:row>
    <x:row r="267" ht="70" customHeight="1">
      <x:c r="A267" s="29" t="str">
        <x:v>workbook:05762549de4ad1aacf1c06b458b70e142b9bc3658d3ece370a8a2ccea010e52b:R40</x:v>
      </x:c>
      <x:c r="B267" s="29" t="str">
        <x:v>fact</x:v>
      </x:c>
      <x:c r="C267" s="29" t="str">
        <x:v>workbook:05762549de4ad1aacf1c06b458b70e142b9bc3658d3ece370a8a2ccea010e52b</x:v>
      </x:c>
      <x:c r="D267" s="29" t="str">
        <x:v>05762549de4ad1aacf1c06b458b70e142b9bc3658d3ece370a8a2ccea010e52b</x:v>
      </x:c>
      <x:c r="E267" s="29" t="str">
        <x:v>2026-10-24</x:v>
      </x:c>
      <x:c r="F267" s="29" t="str">
        <x:v>/Users/yuntzuyu/Downloads/e-loan/Year/E-loan YYYY_Nexstar 2025.xls#Report1!R40; label=A40; dates=R6,R76; unit=O4</x:v>
      </x:c>
      <x:c r="G267" s="29" t="str">
        <x:v>{"value": "711000.0", "unit": "USD", "scale": "1000", "definition": "Current Liabilities", "basis": "", "excerpt": "Current Liabilities: 711000.0; consolidation=A1; entity=A4; period=2025-01-01~2025-12-31; raw cell retained", "source_url": "/Users/yuntzuyu/Downloads/e-loan/Year/E-loan YYYY_Nexstar 2025.xls", "reason": ""}</x:v>
      </x:c>
    </x:row>
    <x:row r="268" ht="70" customHeight="1">
      <x:c r="A268" s="29" t="str">
        <x:v>workbook:05762549de4ad1aacf1c06b458b70e142b9bc3658d3ece370a8a2ccea010e52b:R62</x:v>
      </x:c>
      <x:c r="B268" s="29" t="str">
        <x:v>fact</x:v>
      </x:c>
      <x:c r="C268" s="29" t="str">
        <x:v>workbook:05762549de4ad1aacf1c06b458b70e142b9bc3658d3ece370a8a2ccea010e52b</x:v>
      </x:c>
      <x:c r="D268" s="29" t="str">
        <x:v>05762549de4ad1aacf1c06b458b70e142b9bc3658d3ece370a8a2ccea010e52b</x:v>
      </x:c>
      <x:c r="E268" s="29" t="str">
        <x:v>2026-10-24</x:v>
      </x:c>
      <x:c r="F268" s="29" t="str">
        <x:v>/Users/yuntzuyu/Downloads/e-loan/Year/E-loan YYYY_Nexstar 2025.xls#Report1!R62; label=A62; dates=R6,R76; unit=O4</x:v>
      </x:c>
      <x:c r="G268" s="29" t="str">
        <x:v>{"value": "8784000.0", "unit": "USD", "scale": "1000", "definition": "Total Liabilities", "basis": "", "excerpt": "Total Liabilities: 8784000.0; consolidation=A1; entity=A4; period=2025-01-01~2025-12-31; raw cell retained", "source_url": "/Users/yuntzuyu/Downloads/e-loan/Year/E-loan YYYY_Nexstar 2025.xls", "reason": ""}</x:v>
      </x:c>
    </x:row>
    <x:row r="269" ht="70" customHeight="1">
      <x:c r="A269" s="29" t="str">
        <x:v>workbook:05762549de4ad1aacf1c06b458b70e142b9bc3658d3ece370a8a2ccea010e52b:R70</x:v>
      </x:c>
      <x:c r="B269" s="29" t="str">
        <x:v>fact</x:v>
      </x:c>
      <x:c r="C269" s="29" t="str">
        <x:v>workbook:05762549de4ad1aacf1c06b458b70e142b9bc3658d3ece370a8a2ccea010e52b</x:v>
      </x:c>
      <x:c r="D269" s="29" t="str">
        <x:v>05762549de4ad1aacf1c06b458b70e142b9bc3658d3ece370a8a2ccea010e52b</x:v>
      </x:c>
      <x:c r="E269" s="29" t="str">
        <x:v>2026-10-24</x:v>
      </x:c>
      <x:c r="F269" s="29" t="str">
        <x:v>/Users/yuntzuyu/Downloads/e-loan/Year/E-loan YYYY_Nexstar 2025.xls#Report1!R70; label=A70; dates=R6,R76; unit=O4</x:v>
      </x:c>
      <x:c r="G269" s="29" t="str">
        <x:v>{"value": "2062000.0", "unit": "USD", "scale": "1000", "definition": "Total Net Worth", "basis": "", "excerpt": "Total Net Worth: 2062000.0; consolidation=A1; entity=A4; period=2025-01-01~2025-12-31; raw cell retained", "source_url": "/Users/yuntzuyu/Downloads/e-loan/Year/E-loan YYYY_Nexstar 2025.xls", "reason": ""}</x:v>
      </x:c>
    </x:row>
    <x:row r="270" ht="70" customHeight="1">
      <x:c r="A270" s="29" t="str">
        <x:v>workbook:05762549de4ad1aacf1c06b458b70e142b9bc3658d3ece370a8a2ccea010e52b:R120</x:v>
      </x:c>
      <x:c r="B270" s="29" t="str">
        <x:v>review</x:v>
      </x:c>
      <x:c r="C270" s="29" t="str">
        <x:v>workbook:05762549de4ad1aacf1c06b458b70e142b9bc3658d3ece370a8a2ccea010e52b</x:v>
      </x:c>
      <x:c r="D270" s="29" t="str">
        <x:v>05762549de4ad1aacf1c06b458b70e142b9bc3658d3ece370a8a2ccea010e52b</x:v>
      </x:c>
      <x:c r="E270" s="29" t="str">
        <x:v>2026-10-24</x:v>
      </x:c>
      <x:c r="F270" s="29" t="str">
        <x:v>/Users/yuntzuyu/Downloads/e-loan/Year/E-loan YYYY_Nexstar 2025.xls#Report1!R120; label=A120; dates=R6,R76; unit=O4</x:v>
      </x:c>
      <x:c r="G270" s="29" t="str">
        <x:v>{"value": null, "unit": "USD", "scale": "1000", "definition": "Capitalized Interest", "basis": "", "excerpt": "Capitalized Interest: ''; consolidation=A1; entity=A4; period=2025-01-01~2025-12-31; raw cell retained", "source_url": "/Users/yuntzuyu/Downloads/e-loan/Year/E-loan YYYY_Nexstar 2025.xls", "reason": "原始儲存格空白／無可用數值"}</x:v>
      </x:c>
    </x:row>
    <x:row r="271" ht="70" customHeight="1">
      <x:c r="A271" s="29" t="str">
        <x:v>workbook:05762549de4ad1aacf1c06b458b70e142b9bc3658d3ece370a8a2ccea010e52b:R121</x:v>
      </x:c>
      <x:c r="B271" s="29" t="str">
        <x:v>fact</x:v>
      </x:c>
      <x:c r="C271" s="29" t="str">
        <x:v>workbook:05762549de4ad1aacf1c06b458b70e142b9bc3658d3ece370a8a2ccea010e52b</x:v>
      </x:c>
      <x:c r="D271" s="29" t="str">
        <x:v>05762549de4ad1aacf1c06b458b70e142b9bc3658d3ece370a8a2ccea010e52b</x:v>
      </x:c>
      <x:c r="E271" s="29" t="str">
        <x:v>2026-10-24</x:v>
      </x:c>
      <x:c r="F271" s="29" t="str">
        <x:v>/Users/yuntzuyu/Downloads/e-loan/Year/E-loan YYYY_Nexstar 2025.xls#Report1!R121; label=A121; dates=R6,R76; unit=O4</x:v>
      </x:c>
      <x:c r="G271" s="29" t="str">
        <x:v>{"value": "785000.0", "unit": "USD", "scale": "1000", "definition": "Depreciation &amp; Amortization", "basis": "", "excerpt": "Depreciation &amp; Amortization: 785000.0; consolidation=A1; entity=A4; period=2025-01-01~2025-12-31; raw cell retained", "source_url": "/Users/yuntzuyu/Downloads/e-loan/Year/E-loan YYYY_Nexstar 2025.xls", "reason": ""}</x:v>
      </x:c>
    </x:row>
    <x:row r="272" ht="32" customHeight="1">
      <x:c r="A272" s="29" t="str">
        <x:v>approval:formal-review-integration:DEC-11</x:v>
      </x:c>
      <x:c r="B272" s="29" t="str">
        <x:v>definition</x:v>
      </x:c>
      <x:c r="C272" s="29" t="str">
        <x:v>user-approved-integration</x:v>
      </x:c>
      <x:c r="D272" s="29" t="str">
        <x:v>formal-review-integration-v1</x:v>
      </x:c>
      <x:c r="E272" s="29" t="str">
        <x:v>2026-10-27</x:v>
      </x:c>
      <x:c r="F272" s="29" t="str">
        <x:v>references/loan-review-integration.md</x:v>
      </x:c>
      <x:c r="G272" s="29" t="str">
        <x:v>Dashboard authorized; display canonical formal facts and acceptance state</x:v>
      </x:c>
    </x:row>
  </x:sheetData>
  <x:mergeCells>
    <x:mergeCell ref="A1:G1"/>
    <x:mergeCell ref="A2:G2"/>
  </x:mergeCells>
  <x:pageMargins left="0.7" right="0.7" top="0.75" bottom="0.75" header="0.3" footer="0.3"/>
</x:worksheet>
</file>