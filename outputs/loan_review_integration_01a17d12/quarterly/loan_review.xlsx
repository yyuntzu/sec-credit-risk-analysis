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0890beeae48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016bd90c27734844"/>
    <x:sheet xmlns:r="http://schemas.openxmlformats.org/officeDocument/2006/relationships" name="Sources" sheetId="2" r:id="R216b1fe1c10a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.00"/>
    <x:numFmt numFmtId="201" formatCode="0.00%;(0.00%);0.00%"/>
    <x:numFmt numFmtId="202" formatCode="0.00&quot;x&quot;;(0.00&quot;x&quot;);0.00&quot;x&quot;"/>
  </x:numFmts>
  <x:fonts count="17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4"/>
      <x:name val="Carlito"/>
    </x:font>
    <x:font>
      <x:sz val="11"/>
      <x:color rgb="FF9A3412"/>
      <x:name val="Carlito"/>
    </x:font>
    <x:font>
      <x:b/>
      <x:sz val="11"/>
      <x:name val="Carlito"/>
    </x:font>
    <x:font>
      <x:b/>
      <x:sz val="14"/>
      <x:name val="Arial"/>
    </x:font>
    <x:font>
      <x:sz val="11"/>
      <x:name val="Arial"/>
    </x:font>
    <x:font>
      <x:sz val="11"/>
      <x:color rgb="FF9A3412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sz val="10"/>
      <x:color rgb="FF9A3412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1"/>
      <x:color rgb="FF0000FF"/>
      <x:name val="Arial"/>
    </x:font>
    <x:font>
      <x:sz val="10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4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200" fontId="12" fillId="0" borderId="0" xfId="0" applyNumberFormat="1" applyFont="1" applyFill="1" applyBorder="1" applyAlignment="1">
      <x:alignment wrapText="1"/>
    </x:xf>
    <x:xf numFmtId="201" fontId="12" fillId="0" borderId="0" xfId="0" applyNumberFormat="1" applyFont="1" applyFill="1" applyBorder="1" applyAlignment="1">
      <x:alignment wrapText="1"/>
    </x:xf>
    <x:xf numFmtId="202" fontId="12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/>
    <x:xf numFmtId="0" fontId="15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10" fillId="2" borderId="0" xfId="0" applyNumberFormat="1" applyFont="1" applyFill="1" applyBorder="1"/>
    <x:xf numFmtId="200" fontId="12" fillId="0" borderId="0" xfId="0" applyNumberFormat="1" applyFont="1" applyFill="1" applyBorder="1"/>
    <x:xf numFmtId="0" fontId="16" fillId="0" borderId="0" xfId="0" applyNumberFormat="1" applyFont="1" applyFill="1" applyBorder="1"/>
    <x:xf numFmtId="201" fontId="12" fillId="0" borderId="0" xfId="0" applyNumberFormat="1" applyFont="1" applyFill="1" applyBorder="1"/>
    <x:xf numFmtId="202" fontId="12" fillId="0" borderId="0" xfId="0" applyNumberFormat="1" applyFont="1" applyFill="1" applyBorder="1"/>
    <x:xf numFmtId="0" fontId="1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6817ab5a54015" /><Relationship Type="http://schemas.openxmlformats.org/officeDocument/2006/relationships/theme" Target="/xl/theme/theme1.xml" Id="Ra7e95b6386354238" /><Relationship Type="http://schemas.openxmlformats.org/officeDocument/2006/relationships/sharedStrings" Target="/xl/sharedStrings.xml" Id="R6bb8a4f0c8684aed" /><Relationship Type="http://schemas.openxmlformats.org/officeDocument/2006/relationships/worksheet" Target="/xl/worksheets/sheet1.xml" Id="R016bd90c27734844" /><Relationship Type="http://schemas.openxmlformats.org/officeDocument/2006/relationships/worksheet" Target="/xl/worksheets/sheet2.xml" Id="R216b1fe1c10a4f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16" t="str">
        <x:v>NEXSTAR MEDIA GROUP, INC. · quarterly · USD / 1000000</x:v>
      </x:c>
      <x:c r="B1" s="17"/>
      <x:c r="C1" s="17"/>
      <x:c r="D1" s="17"/>
      <x:c r="E1" s="17"/>
      <x:c r="F1" s="17"/>
      <x:c r="G1" s="17"/>
    </x:row>
    <x:row r="2">
      <x:c r="A2" s="17"/>
      <x:c r="B2" s="17"/>
      <x:c r="C2" s="17"/>
      <x:c r="D2" s="17"/>
      <x:c r="E2" s="17"/>
      <x:c r="F2" s="17"/>
      <x:c r="G2" s="17"/>
    </x:row>
    <x:row r="3" ht="80" customHeight="1">
      <x:c r="A3" s="25" t="str">
        <x:v>待驗收覆核稿：User e-loan workpaper; SEC source and CIK not independently verified; Source publication date unknown; review date does not prove historical as-of availability; Cash flow periods/bridge and company-specific definitions remain subject to review; Required report cells are unavailable or definitions unresolved; Required analytical coverage remains incomplete; Reconciliation is incomplete or contains unexplained differences</x:v>
      </x:c>
      <x:c r="B3" s="26"/>
      <x:c r="C3" s="26"/>
      <x:c r="D3" s="26"/>
      <x:c r="E3" s="26"/>
      <x:c r="F3" s="26"/>
      <x:c r="G3" s="26"/>
    </x:row>
    <x:row r="4">
      <x:c r="A4" s="26"/>
      <x:c r="B4" s="26"/>
      <x:c r="C4" s="26"/>
      <x:c r="D4" s="26"/>
      <x:c r="E4" s="26"/>
      <x:c r="F4" s="26"/>
      <x:c r="G4" s="26"/>
    </x:row>
    <x:row r="5">
      <x:c r="A5" s="27" t="str">
        <x:v>YTD (Quarterly) Income</x:v>
      </x:c>
      <x:c r="B5" s="26"/>
      <x:c r="C5" s="26"/>
      <x:c r="D5" s="26"/>
      <x:c r="E5" s="26"/>
      <x:c r="F5" s="26"/>
      <x:c r="G5" s="26"/>
    </x:row>
    <x:row r="6" ht="36" customHeight="1">
      <x:c r="A6" s="28" t="str">
        <x:v>科目</x:v>
      </x:c>
      <x:c r="B6" s="28" t="str">
        <x:v>2025-01-01～2025-06-30</x:v>
      </x:c>
      <x:c r="C6" s="28" t="str">
        <x:v>營收占比</x:v>
      </x:c>
      <x:c r="D6" s="28" t="str">
        <x:v>2026-01-01～2026-06-30</x:v>
      </x:c>
      <x:c r="E6" s="28" t="str">
        <x:v>營收占比</x:v>
      </x:c>
      <x:c r="F6" s="26"/>
      <x:c r="G6" s="26"/>
    </x:row>
    <x:row r="7" ht="30" customHeight="1">
      <x:c r="A7" s="29" t="str">
        <x:v>Revenues／營業收入</x:v>
      </x:c>
      <x:c r="B7" s="30" t="n">
        <x:f>'Sources'!B4</x:f>
        <x:v>2462</x:v>
      </x:c>
      <x:c r="C7" s="31" t="n">
        <x:f>'Sources'!B5</x:f>
        <x:v>1</x:v>
      </x:c>
      <x:c r="D7" s="30" t="n">
        <x:f>'Sources'!B6</x:f>
        <x:v>3389</x:v>
      </x:c>
      <x:c r="E7" s="31" t="n">
        <x:f>'Sources'!B7</x:f>
        <x:v>1</x:v>
      </x:c>
      <x:c r="F7" s="26"/>
      <x:c r="G7" s="26"/>
    </x:row>
    <x:row r="8" ht="30" customHeight="1">
      <x:c r="A8" s="29" t="str">
        <x:v>Operating Cost／營業成本</x:v>
      </x:c>
      <x:c r="B8" s="30" t="n">
        <x:f>'Sources'!B8</x:f>
        <x:v>1108</x:v>
      </x:c>
      <x:c r="C8" s="31" t="n">
        <x:f>'Sources'!B9</x:f>
        <x:v>0.45004061738424045</x:v>
      </x:c>
      <x:c r="D8" s="30" t="n">
        <x:f>'Sources'!B10</x:f>
        <x:v>1541</x:v>
      </x:c>
      <x:c r="E8" s="31" t="n">
        <x:f>'Sources'!B11</x:f>
        <x:v>0.4547064030687518</x:v>
      </x:c>
      <x:c r="F8" s="26"/>
      <x:c r="G8" s="26"/>
    </x:row>
    <x:row r="9" ht="30" customHeight="1">
      <x:c r="A9" s="29" t="str">
        <x:v>Gross profit／毛利</x:v>
      </x:c>
      <x:c r="B9" s="30" t="n">
        <x:f>'Sources'!B12</x:f>
        <x:v>1354</x:v>
      </x:c>
      <x:c r="C9" s="31" t="n">
        <x:f>'Sources'!B13</x:f>
        <x:v>0.5499593826157595</x:v>
      </x:c>
      <x:c r="D9" s="30" t="n">
        <x:f>'Sources'!B14</x:f>
        <x:v>1848</x:v>
      </x:c>
      <x:c r="E9" s="31" t="n">
        <x:f>'Sources'!B15</x:f>
        <x:v>0.5452935969312481</x:v>
      </x:c>
      <x:c r="F9" s="26"/>
      <x:c r="G9" s="26"/>
    </x:row>
    <x:row r="10" ht="30" customHeight="1">
      <x:c r="A10" s="29" t="str">
        <x:v>Operating expense／營業費用</x:v>
      </x:c>
      <x:c r="B10" s="30" t="str">
        <x:f>'Sources'!B16</x:f>
        <x:v>無法計算／待確認</x:v>
      </x:c>
      <x:c r="C10" s="31" t="str">
        <x:f>'Sources'!B17</x:f>
        <x:v>無法計算／待確認</x:v>
      </x:c>
      <x:c r="D10" s="30" t="str">
        <x:f>'Sources'!B18</x:f>
        <x:v>無法計算／待確認</x:v>
      </x:c>
      <x:c r="E10" s="31" t="str">
        <x:f>'Sources'!B19</x:f>
        <x:v>無法計算／待確認</x:v>
      </x:c>
      <x:c r="F10" s="26"/>
      <x:c r="G10" s="26"/>
    </x:row>
    <x:row r="11" ht="30" customHeight="1">
      <x:c r="A11" s="29" t="str">
        <x:v>Operating income／營業利益</x:v>
      </x:c>
      <x:c r="B11" s="30" t="n">
        <x:f>'Sources'!B20</x:f>
        <x:v>432</x:v>
      </x:c>
      <x:c r="C11" s="31" t="n">
        <x:f>'Sources'!B21</x:f>
        <x:v>0.17546709991876522</x:v>
      </x:c>
      <x:c r="D11" s="30" t="n">
        <x:f>'Sources'!B22</x:f>
        <x:v>627</x:v>
      </x:c>
      <x:c r="E11" s="31" t="n">
        <x:f>'Sources'!B23</x:f>
        <x:v>0.1850103275302449</x:v>
      </x:c>
      <x:c r="F11" s="26"/>
      <x:c r="G11" s="26"/>
    </x:row>
    <x:row r="12" ht="30" customHeight="1">
      <x:c r="A12" s="29" t="str">
        <x:v>Interest expense／利息費用</x:v>
      </x:c>
      <x:c r="B12" s="30" t="str">
        <x:f>'Sources'!B24</x:f>
        <x:v>無法計算／待確認</x:v>
      </x:c>
      <x:c r="C12" s="31" t="str">
        <x:f>'Sources'!B25</x:f>
        <x:v>無法計算／待確認</x:v>
      </x:c>
      <x:c r="D12" s="30" t="str">
        <x:f>'Sources'!B26</x:f>
        <x:v>無法計算／待確認</x:v>
      </x:c>
      <x:c r="E12" s="31" t="str">
        <x:f>'Sources'!B27</x:f>
        <x:v>無法計算／待確認</x:v>
      </x:c>
      <x:c r="F12" s="26"/>
      <x:c r="G12" s="26"/>
    </x:row>
    <x:row r="13" ht="30" customHeight="1">
      <x:c r="A13" s="29" t="str">
        <x:v>Income before taxes／稅前利益</x:v>
      </x:c>
      <x:c r="B13" s="30" t="n">
        <x:f>'Sources'!B28</x:f>
        <x:v>268</x:v>
      </x:c>
      <x:c r="C13" s="31" t="n">
        <x:f>'Sources'!B29</x:f>
        <x:v>0.10885458976441917</x:v>
      </x:c>
      <x:c r="D13" s="30" t="n">
        <x:f>'Sources'!B30</x:f>
        <x:v>330</x:v>
      </x:c>
      <x:c r="E13" s="31" t="n">
        <x:f>'Sources'!B31</x:f>
        <x:v>0.09737385659486575</x:v>
      </x:c>
      <x:c r="F13" s="26"/>
      <x:c r="G13" s="26"/>
    </x:row>
    <x:row r="14" ht="30" customHeight="1">
      <x:c r="A14" s="29" t="str">
        <x:v>Income tax expense／所得稅費用／利益</x:v>
      </x:c>
      <x:c r="B14" s="30" t="n">
        <x:f>'Sources'!B32</x:f>
        <x:v>80</x:v>
      </x:c>
      <x:c r="C14" s="31" t="n">
        <x:f>'Sources'!B33</x:f>
        <x:v>0.03249390739236393</x:v>
      </x:c>
      <x:c r="D14" s="30" t="n">
        <x:f>'Sources'!B34</x:f>
        <x:v>57</x:v>
      </x:c>
      <x:c r="E14" s="31" t="n">
        <x:f>'Sources'!B35</x:f>
        <x:v>0.01681912068456772</x:v>
      </x:c>
      <x:c r="F14" s="26"/>
      <x:c r="G14" s="26"/>
    </x:row>
    <x:row r="15" ht="30" customHeight="1">
      <x:c r="A15" s="29" t="str">
        <x:v>Net income／稅後淨利</x:v>
      </x:c>
      <x:c r="B15" s="30" t="n">
        <x:f>'Sources'!B36</x:f>
        <x:v>188</x:v>
      </x:c>
      <x:c r="C15" s="31" t="n">
        <x:f>'Sources'!B37</x:f>
        <x:v>0.07636068237205523</x:v>
      </x:c>
      <x:c r="D15" s="30" t="n">
        <x:f>'Sources'!B38</x:f>
        <x:v>273</x:v>
      </x:c>
      <x:c r="E15" s="31" t="n">
        <x:f>'Sources'!B39</x:f>
        <x:v>0.08055473591029802</x:v>
      </x:c>
      <x:c r="F15" s="26"/>
      <x:c r="G15" s="26"/>
    </x:row>
    <x:row r="16">
      <x:c r="A16" s="26"/>
      <x:c r="B16" s="26"/>
      <x:c r="C16" s="26"/>
      <x:c r="D16" s="26"/>
      <x:c r="E16" s="26"/>
      <x:c r="F16" s="26"/>
      <x:c r="G16" s="26"/>
    </x:row>
    <x:row r="17">
      <x:c r="A17" s="26"/>
      <x:c r="B17" s="26"/>
      <x:c r="C17" s="26"/>
      <x:c r="D17" s="26"/>
      <x:c r="E17" s="26"/>
      <x:c r="F17" s="26"/>
      <x:c r="G17" s="26"/>
    </x:row>
    <x:row r="18">
      <x:c r="A18" s="27" t="str">
        <x:v>Ratios YTD</x:v>
      </x:c>
      <x:c r="B18" s="26"/>
      <x:c r="C18" s="26"/>
      <x:c r="D18" s="26"/>
      <x:c r="E18" s="26"/>
      <x:c r="F18" s="26"/>
      <x:c r="G18" s="26"/>
    </x:row>
    <x:row r="19" ht="36" customHeight="1">
      <x:c r="A19" s="28" t="str">
        <x:v>科目</x:v>
      </x:c>
      <x:c r="B19" s="28" t="str">
        <x:v>2024-01-01～2024-12-31</x:v>
      </x:c>
      <x:c r="C19" s="28" t="str">
        <x:v>2025-01-01～2025-06-30</x:v>
      </x:c>
      <x:c r="D19" s="28" t="str">
        <x:v>2025-01-01～2025-12-31</x:v>
      </x:c>
      <x:c r="E19" s="28" t="str">
        <x:v>2026-01-01～2026-06-30</x:v>
      </x:c>
      <x:c r="F19" s="26"/>
      <x:c r="G19" s="26"/>
    </x:row>
    <x:row r="20" ht="30" customHeight="1">
      <x:c r="A20" s="29" t="str">
        <x:v>Current ratio／流動比率</x:v>
      </x:c>
      <x:c r="B20" s="31" t="n">
        <x:f>'Sources'!B40</x:f>
        <x:v>1.656449553001277</x:v>
      </x:c>
      <x:c r="C20" s="31" t="n">
        <x:f>'Sources'!B41</x:f>
        <x:v>1.6889428918590523</x:v>
      </x:c>
      <x:c r="D20" s="31" t="n">
        <x:f>'Sources'!B42</x:f>
        <x:v>2.071729957805907</x:v>
      </x:c>
      <x:c r="E20" s="31" t="n">
        <x:f>'Sources'!B43</x:f>
        <x:v>1.5615264797507789</x:v>
      </x:c>
      <x:c r="F20" s="26"/>
      <x:c r="G20" s="26"/>
    </x:row>
    <x:row r="21" ht="30" customHeight="1">
      <x:c r="A21" s="29" t="str">
        <x:v>Quick ratio／速動比率</x:v>
      </x:c>
      <x:c r="B21" s="31" t="str">
        <x:f>'Sources'!B44</x:f>
        <x:v>無法計算／待確認</x:v>
      </x:c>
      <x:c r="C21" s="31" t="str">
        <x:f>'Sources'!B45</x:f>
        <x:v>無法計算／待確認</x:v>
      </x:c>
      <x:c r="D21" s="31" t="str">
        <x:f>'Sources'!B46</x:f>
        <x:v>無法計算／待確認</x:v>
      </x:c>
      <x:c r="E21" s="31" t="str">
        <x:f>'Sources'!B47</x:f>
        <x:v>無法計算／待確認</x:v>
      </x:c>
      <x:c r="F21" s="26"/>
      <x:c r="G21" s="26"/>
    </x:row>
    <x:row r="22" ht="30" customHeight="1">
      <x:c r="A22" s="29" t="str">
        <x:v>Debt ratio／負債比率</x:v>
      </x:c>
      <x:c r="B22" s="31" t="str">
        <x:f>'Sources'!B48</x:f>
        <x:v>無法計算／待確認</x:v>
      </x:c>
      <x:c r="C22" s="31" t="str">
        <x:f>'Sources'!B49</x:f>
        <x:v>無法計算／待確認</x:v>
      </x:c>
      <x:c r="D22" s="31" t="str">
        <x:f>'Sources'!B50</x:f>
        <x:v>無法計算／待確認</x:v>
      </x:c>
      <x:c r="E22" s="31" t="str">
        <x:f>'Sources'!B51</x:f>
        <x:v>無法計算／待確認</x:v>
      </x:c>
      <x:c r="F22" s="26"/>
      <x:c r="G22" s="26"/>
    </x:row>
    <x:row r="23">
      <x:c r="A23" s="26"/>
      <x:c r="B23" s="26"/>
      <x:c r="C23" s="26"/>
      <x:c r="D23" s="26"/>
      <x:c r="E23" s="26"/>
      <x:c r="F23" s="26"/>
      <x:c r="G23" s="26"/>
    </x:row>
    <x:row r="24">
      <x:c r="A24" s="26"/>
      <x:c r="B24" s="26"/>
      <x:c r="C24" s="26"/>
      <x:c r="D24" s="26"/>
      <x:c r="E24" s="26"/>
      <x:c r="F24" s="26"/>
      <x:c r="G24" s="26"/>
    </x:row>
    <x:row r="25">
      <x:c r="A25" s="27" t="str">
        <x:v>Leverage Analysis YTD</x:v>
      </x:c>
      <x:c r="B25" s="26"/>
      <x:c r="C25" s="26"/>
      <x:c r="D25" s="26"/>
      <x:c r="E25" s="26"/>
      <x:c r="F25" s="26"/>
      <x:c r="G25" s="26"/>
    </x:row>
    <x:row r="26" ht="36" customHeight="1">
      <x:c r="A26" s="28" t="str">
        <x:v>科目</x:v>
      </x:c>
      <x:c r="B26" s="28" t="str">
        <x:v>2024-01-01～2024-12-31</x:v>
      </x:c>
      <x:c r="C26" s="28" t="str">
        <x:v>2025-01-01～2025-06-30</x:v>
      </x:c>
      <x:c r="D26" s="28" t="str">
        <x:v>2025-01-01～2025-12-31</x:v>
      </x:c>
      <x:c r="E26" s="28" t="str">
        <x:v>2026-01-01～2026-06-30</x:v>
      </x:c>
      <x:c r="F26" s="26"/>
      <x:c r="G26" s="26"/>
    </x:row>
    <x:row r="27" ht="30" customHeight="1">
      <x:c r="A27" s="29" t="str">
        <x:v>Total debt／總債務</x:v>
      </x:c>
      <x:c r="B27" s="30" t="str">
        <x:f>'Sources'!B52</x:f>
        <x:v>缺少資料</x:v>
      </x:c>
      <x:c r="C27" s="30" t="str">
        <x:f>'Sources'!B53</x:f>
        <x:v>缺少資料</x:v>
      </x:c>
      <x:c r="D27" s="30" t="str">
        <x:f>'Sources'!B54</x:f>
        <x:v>缺少資料</x:v>
      </x:c>
      <x:c r="E27" s="30" t="str">
        <x:f>'Sources'!B55</x:f>
        <x:v>缺少資料</x:v>
      </x:c>
      <x:c r="F27" s="26"/>
      <x:c r="G27" s="26"/>
    </x:row>
    <x:row r="28" ht="30" customHeight="1">
      <x:c r="A28" s="29" t="str">
        <x:v>LTM EBITDA／最近完整年度 EBITDA</x:v>
      </x:c>
      <x:c r="B28" s="30" t="str">
        <x:f>'Sources'!B56</x:f>
        <x:v>無法計算／待確認</x:v>
      </x:c>
      <x:c r="C28" s="30" t="str">
        <x:f>'Sources'!B57</x:f>
        <x:v>無法計算／待確認</x:v>
      </x:c>
      <x:c r="D28" s="30" t="str">
        <x:f>'Sources'!B58</x:f>
        <x:v>無法計算／待確認</x:v>
      </x:c>
      <x:c r="E28" s="30" t="str">
        <x:f>'Sources'!B59</x:f>
        <x:v>無法計算／待確認</x:v>
      </x:c>
      <x:c r="F28" s="26"/>
      <x:c r="G28" s="26"/>
    </x:row>
    <x:row r="29" ht="80" customHeight="1">
      <x:c r="A29" s="29" t="str">
        <x:v>EBITDA basis／EBITDA 計算口徑</x:v>
      </x:c>
      <x:c r="B29" s="30" t="str">
        <x:f>'Sources'!B60</x:f>
        <x:v>缺少資料</x:v>
      </x:c>
      <x:c r="C29" s="30" t="str">
        <x:f>'Sources'!B61</x:f>
        <x:v>缺少資料</x:v>
      </x:c>
      <x:c r="D29" s="30" t="str">
        <x:f>'Sources'!B62</x:f>
        <x:v>缺少資料</x:v>
      </x:c>
      <x:c r="E29" s="30" t="str">
        <x:f>'Sources'!B63</x:f>
        <x:v>缺少資料</x:v>
      </x:c>
      <x:c r="F29" s="26"/>
      <x:c r="G29" s="26"/>
    </x:row>
    <x:row r="30" ht="30" customHeight="1">
      <x:c r="A30" s="29" t="str">
        <x:v>Total leverage ratio／總槓桿倍數</x:v>
      </x:c>
      <x:c r="B30" s="32" t="str">
        <x:f>'Sources'!B64</x:f>
        <x:v>無法計算／待確認</x:v>
      </x:c>
      <x:c r="C30" s="32" t="str">
        <x:f>'Sources'!B65</x:f>
        <x:v>無法計算／待確認</x:v>
      </x:c>
      <x:c r="D30" s="32" t="str">
        <x:f>'Sources'!B66</x:f>
        <x:v>無法計算／待確認</x:v>
      </x:c>
      <x:c r="E30" s="32" t="str">
        <x:f>'Sources'!B67</x:f>
        <x:v>無法計算／待確認</x:v>
      </x:c>
      <x:c r="F30" s="26"/>
      <x:c r="G30" s="26"/>
    </x:row>
    <x:row r="31">
      <x:c r="A31" s="26"/>
      <x:c r="B31" s="26"/>
      <x:c r="C31" s="26"/>
      <x:c r="D31" s="26"/>
      <x:c r="E31" s="26"/>
      <x:c r="F31" s="26"/>
      <x:c r="G31" s="26"/>
    </x:row>
    <x:row r="32">
      <x:c r="A32" s="26"/>
      <x:c r="B32" s="26"/>
      <x:c r="C32" s="26"/>
      <x:c r="D32" s="26"/>
      <x:c r="E32" s="26"/>
      <x:c r="F32" s="26"/>
      <x:c r="G32" s="26"/>
    </x:row>
    <x:row r="33">
      <x:c r="A33" s="26"/>
      <x:c r="B33" s="26"/>
      <x:c r="C33" s="26"/>
      <x:c r="D33" s="26"/>
      <x:c r="E33" s="26"/>
      <x:c r="F33" s="26"/>
      <x:c r="G33" s="26"/>
    </x:row>
  </x:sheetData>
  <x:mergeCells>
    <x:mergeCell ref="A1:G1"/>
    <x:mergeCell ref="A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24" hidden="0" customWidth="1"/>
    <x:col min="3" max="3" width="24" hidden="0" customWidth="1"/>
    <x:col min="4" max="4" width="16" hidden="0" customWidth="1"/>
    <x:col min="5" max="5" width="28" hidden="0" customWidth="1"/>
    <x:col min="6" max="6" width="65" hidden="0" customWidth="1"/>
    <x:col min="7" max="7" width="75" hidden="0" customWidth="1"/>
  </x:cols>
  <x:sheetData>
    <x:row r="1">
      <x:c r="A1" s="17" t="str">
        <x:v>NEXSTAR MEDIA GROUP, INC. · 原始數值與計算來源</x:v>
      </x:c>
      <x:c r="B1" s="17"/>
      <x:c r="C1" s="17"/>
      <x:c r="D1" s="17"/>
      <x:c r="E1" s="17"/>
      <x:c r="F1" s="17"/>
      <x:c r="G1" s="17"/>
    </x:row>
    <x:row r="2">
      <x:c r="A2" s="17" t="str">
        <x:v>報表單位：USD / 1000000；C、D 欄保留來源原值與原始 scale</x:v>
      </x:c>
      <x:c r="B2" s="17"/>
      <x:c r="C2" s="17"/>
      <x:c r="D2" s="17"/>
      <x:c r="E2" s="17"/>
      <x:c r="F2" s="17"/>
      <x:c r="G2" s="17"/>
    </x:row>
    <x:row r="3" ht="32" customHeight="1">
      <x:c r="A3" s="28" t="str">
        <x:v>科目／期間</x:v>
      </x:c>
      <x:c r="B3" s="28" t="str">
        <x:v>報表值</x:v>
      </x:c>
      <x:c r="C3" s="28" t="str">
        <x:v>原始值</x:v>
      </x:c>
      <x:c r="D3" s="28" t="str">
        <x:v>原始 scale</x:v>
      </x:c>
      <x:c r="E3" s="28" t="str">
        <x:v>狀態</x:v>
      </x:c>
      <x:c r="F3" s="28" t="str">
        <x:v>定義／限制</x:v>
      </x:c>
      <x:c r="G3" s="28" t="str">
        <x:v>來源位置／證據</x:v>
      </x:c>
    </x:row>
    <x:row r="4" ht="30" customHeight="1">
      <x:c r="A4" s="26" t="str">
        <x:v>revenue:prior_interim</x:v>
      </x:c>
      <x:c r="B4" s="38" t="n">
        <x:f>IF(AND(ISNUMBER(C4),ISNUMBER(D4)),C4*D4/1000000,"缺少資料")</x:f>
        <x:v>2462</x:v>
      </x:c>
      <x:c r="C4" s="39" t="n">
        <x:v>2462000</x:v>
      </x:c>
      <x:c r="D4" s="39" t="n">
        <x:v>1000</x:v>
      </x:c>
      <x:c r="E4" s="26" t="str">
        <x:v>sourced</x:v>
      </x:c>
      <x:c r="F4" s="29" t="str">
        <x:v>Revenues</x:v>
      </x:c>
      <x:c r="G4" s="29" t="str">
        <x:v>/Users/yuntzuyu/Downloads/e-loan/Quarter/E-Loan YQYQ-Nexstar Q2.xls#Report1!I80; label=A80; dates=I6,I76; unit=O4</x:v>
      </x:c>
    </x:row>
    <x:row r="5" ht="30" customHeight="1">
      <x:c r="A5" s="26" t="str">
        <x:v>revenue:pct:prior_interim</x:v>
      </x:c>
      <x:c r="B5" s="40" t="n">
        <x:f>IF(AND(ISNUMBER(B4),ISNUMBER(B4)),IF(B4=0,"無法計算",B4/B4),"缺少資料")</x:f>
        <x:v>1</x:v>
      </x:c>
      <x:c r="C5" s="39"/>
      <x:c r="D5" s="39"/>
      <x:c r="E5" s="26" t="str">
        <x:v>calculated</x:v>
      </x:c>
      <x:c r="F5" s="29" t="str">
        <x:v>revenue / revenue</x:v>
      </x:c>
      <x:c r="G5" s="29" t="str"/>
    </x:row>
    <x:row r="6" ht="30" customHeight="1">
      <x:c r="A6" s="26" t="str">
        <x:v>revenue:current_interim</x:v>
      </x:c>
      <x:c r="B6" s="38" t="n">
        <x:f>IF(AND(ISNUMBER(C6),ISNUMBER(D6)),C6*D6/1000000,"缺少資料")</x:f>
        <x:v>3389</x:v>
      </x:c>
      <x:c r="C6" s="39" t="n">
        <x:v>3389000</x:v>
      </x:c>
      <x:c r="D6" s="39" t="n">
        <x:v>1000</x:v>
      </x:c>
      <x:c r="E6" s="26" t="str">
        <x:v>sourced</x:v>
      </x:c>
      <x:c r="F6" s="29" t="str">
        <x:v>Revenues</x:v>
      </x:c>
      <x:c r="G6" s="29" t="str">
        <x:v>/Users/yuntzuyu/Downloads/e-loan/Quarter/E-Loan YQYQ-Nexstar Q2.xls#Report1!R80; label=A80; dates=R6,R76; unit=O4</x:v>
      </x:c>
    </x:row>
    <x:row r="7" ht="30" customHeight="1">
      <x:c r="A7" s="26" t="str">
        <x:v>revenue:pct:current_interim</x:v>
      </x:c>
      <x:c r="B7" s="40" t="n">
        <x:f>IF(AND(ISNUMBER(B6),ISNUMBER(B6)),IF(B6=0,"無法計算",B6/B6),"缺少資料")</x:f>
        <x:v>1</x:v>
      </x:c>
      <x:c r="C7" s="39"/>
      <x:c r="D7" s="39"/>
      <x:c r="E7" s="26" t="str">
        <x:v>calculated</x:v>
      </x:c>
      <x:c r="F7" s="29" t="str">
        <x:v>revenue / revenue</x:v>
      </x:c>
      <x:c r="G7" s="29" t="str"/>
    </x:row>
    <x:row r="8" ht="30" customHeight="1">
      <x:c r="A8" s="26" t="str">
        <x:v>cost_of_revenue:prior_interim</x:v>
      </x:c>
      <x:c r="B8" s="38" t="n">
        <x:f>IF(AND(ISNUMBER(C8),ISNUMBER(D8)),C8*D8/1000000,"缺少資料")</x:f>
        <x:v>1108</x:v>
      </x:c>
      <x:c r="C8" s="39" t="n">
        <x:v>1108000</x:v>
      </x:c>
      <x:c r="D8" s="39" t="n">
        <x:v>1000</x:v>
      </x:c>
      <x:c r="E8" s="26" t="str">
        <x:v>sourced</x:v>
      </x:c>
      <x:c r="F8" s="29" t="str">
        <x:v>Operating Cost</x:v>
      </x:c>
      <x:c r="G8" s="29" t="str">
        <x:v>/Users/yuntzuyu/Downloads/e-loan/Quarter/E-Loan YQYQ-Nexstar Q2.xls#Report1!I86; label=A86; dates=I6,I76; unit=O4</x:v>
      </x:c>
    </x:row>
    <x:row r="9" ht="30" customHeight="1">
      <x:c r="A9" s="26" t="str">
        <x:v>cost_of_revenue:pct:prior_interim</x:v>
      </x:c>
      <x:c r="B9" s="40" t="n">
        <x:f>IF(AND(ISNUMBER(B8),ISNUMBER(B4)),IF(B4=0,"無法計算",B8/B4),"缺少資料")</x:f>
        <x:v>0.45004061738424045</x:v>
      </x:c>
      <x:c r="C9" s="39"/>
      <x:c r="D9" s="39"/>
      <x:c r="E9" s="26" t="str">
        <x:v>calculated</x:v>
      </x:c>
      <x:c r="F9" s="29" t="str">
        <x:v>cost_of_revenue / revenue</x:v>
      </x:c>
      <x:c r="G9" s="29" t="str"/>
    </x:row>
    <x:row r="10" ht="30" customHeight="1">
      <x:c r="A10" s="26" t="str">
        <x:v>cost_of_revenue:current_interim</x:v>
      </x:c>
      <x:c r="B10" s="38" t="n">
        <x:f>IF(AND(ISNUMBER(C10),ISNUMBER(D10)),C10*D10/1000000,"缺少資料")</x:f>
        <x:v>1541</x:v>
      </x:c>
      <x:c r="C10" s="39" t="n">
        <x:v>1541000</x:v>
      </x:c>
      <x:c r="D10" s="39" t="n">
        <x:v>1000</x:v>
      </x:c>
      <x:c r="E10" s="26" t="str">
        <x:v>sourced</x:v>
      </x:c>
      <x:c r="F10" s="29" t="str">
        <x:v>Operating Cost</x:v>
      </x:c>
      <x:c r="G10" s="29" t="str">
        <x:v>/Users/yuntzuyu/Downloads/e-loan/Quarter/E-Loan YQYQ-Nexstar Q2.xls#Report1!R86; label=A86; dates=R6,R76; unit=O4</x:v>
      </x:c>
    </x:row>
    <x:row r="11" ht="30" customHeight="1">
      <x:c r="A11" s="26" t="str">
        <x:v>cost_of_revenue:pct:current_interim</x:v>
      </x:c>
      <x:c r="B11" s="40" t="n">
        <x:f>IF(AND(ISNUMBER(B10),ISNUMBER(B6)),IF(B6=0,"無法計算",B10/B6),"缺少資料")</x:f>
        <x:v>0.4547064030687518</x:v>
      </x:c>
      <x:c r="C11" s="39"/>
      <x:c r="D11" s="39"/>
      <x:c r="E11" s="26" t="str">
        <x:v>calculated</x:v>
      </x:c>
      <x:c r="F11" s="29" t="str">
        <x:v>cost_of_revenue / revenue</x:v>
      </x:c>
      <x:c r="G11" s="29" t="str"/>
    </x:row>
    <x:row r="12" ht="30" customHeight="1">
      <x:c r="A12" s="26" t="str">
        <x:v>gross_profit:prior_interim</x:v>
      </x:c>
      <x:c r="B12" s="38" t="n">
        <x:f>IF(AND(ISNUMBER(C12),ISNUMBER(D12)),C12*D12/1000000,"缺少資料")</x:f>
        <x:v>1354</x:v>
      </x:c>
      <x:c r="C12" s="39" t="n">
        <x:v>1354000</x:v>
      </x:c>
      <x:c r="D12" s="39" t="n">
        <x:v>1000</x:v>
      </x:c>
      <x:c r="E12" s="26" t="str">
        <x:v>sourced</x:v>
      </x:c>
      <x:c r="F12" s="29" t="str">
        <x:v>Gross Profit</x:v>
      </x:c>
      <x:c r="G12" s="29" t="str">
        <x:v>/Users/yuntzuyu/Downloads/e-loan/Quarter/E-Loan YQYQ-Nexstar Q2.xls#Report1!I94; label=A94; dates=I6,I76; unit=O4</x:v>
      </x:c>
    </x:row>
    <x:row r="13" ht="30" customHeight="1">
      <x:c r="A13" s="26" t="str">
        <x:v>gross_profit:pct:prior_interim</x:v>
      </x:c>
      <x:c r="B13" s="40" t="n">
        <x:f>IF(AND(ISNUMBER(B12),ISNUMBER(B4)),IF(B4=0,"無法計算",B12/B4),"缺少資料")</x:f>
        <x:v>0.5499593826157595</x:v>
      </x:c>
      <x:c r="C13" s="39"/>
      <x:c r="D13" s="39"/>
      <x:c r="E13" s="26" t="str">
        <x:v>calculated</x:v>
      </x:c>
      <x:c r="F13" s="29" t="str">
        <x:v>gross_profit / revenue</x:v>
      </x:c>
      <x:c r="G13" s="29" t="str"/>
    </x:row>
    <x:row r="14" ht="30" customHeight="1">
      <x:c r="A14" s="26" t="str">
        <x:v>gross_profit:current_interim</x:v>
      </x:c>
      <x:c r="B14" s="38" t="n">
        <x:f>IF(AND(ISNUMBER(C14),ISNUMBER(D14)),C14*D14/1000000,"缺少資料")</x:f>
        <x:v>1848</x:v>
      </x:c>
      <x:c r="C14" s="39" t="n">
        <x:v>1848000</x:v>
      </x:c>
      <x:c r="D14" s="39" t="n">
        <x:v>1000</x:v>
      </x:c>
      <x:c r="E14" s="26" t="str">
        <x:v>sourced</x:v>
      </x:c>
      <x:c r="F14" s="29" t="str">
        <x:v>Gross Profit</x:v>
      </x:c>
      <x:c r="G14" s="29" t="str">
        <x:v>/Users/yuntzuyu/Downloads/e-loan/Quarter/E-Loan YQYQ-Nexstar Q2.xls#Report1!R94; label=A94; dates=R6,R76; unit=O4</x:v>
      </x:c>
    </x:row>
    <x:row r="15" ht="30" customHeight="1">
      <x:c r="A15" s="26" t="str">
        <x:v>gross_profit:pct:current_interim</x:v>
      </x:c>
      <x:c r="B15" s="40" t="n">
        <x:f>IF(AND(ISNUMBER(B14),ISNUMBER(B6)),IF(B6=0,"無法計算",B14/B6),"缺少資料")</x:f>
        <x:v>0.5452935969312481</x:v>
      </x:c>
      <x:c r="C15" s="39"/>
      <x:c r="D15" s="39"/>
      <x:c r="E15" s="26" t="str">
        <x:v>calculated</x:v>
      </x:c>
      <x:c r="F15" s="29" t="str">
        <x:v>gross_profit / revenue</x:v>
      </x:c>
      <x:c r="G15" s="29" t="str"/>
    </x:row>
    <x:row r="16" ht="30" customHeight="1">
      <x:c r="A16" s="26" t="str">
        <x:v>operating_expense:prior_interim</x:v>
      </x:c>
      <x:c r="B16" s="38" t="str">
        <x:v>無法計算／待確認</x:v>
      </x:c>
      <x:c r="C16" s="39"/>
      <x:c r="D16" s="39"/>
      <x:c r="E16" s="26" t="str">
        <x:v>無法計算／待確認</x:v>
      </x:c>
      <x:c r="F16" s="29" t="str">
        <x:v>Operating Expense 包含／排除COGS及完整範圍未核實；原值保留於來源清單</x:v>
      </x:c>
      <x:c r="G16" s="29" t="str">
        <x:v>/Users/yuntzuyu/Downloads/e-loan/Quarter/E-Loan YQYQ-Nexstar Q2.xls#Report1!I96; label=A96; dates=I6,I76; unit=O4</x:v>
      </x:c>
    </x:row>
    <x:row r="17" ht="30" customHeight="1">
      <x:c r="A17" s="26" t="str">
        <x:v>operating_expense:pct:prior_interim</x:v>
      </x:c>
      <x:c r="B17" s="40" t="str">
        <x:v>無法計算／待確認</x:v>
      </x:c>
      <x:c r="C17" s="39"/>
      <x:c r="D17" s="39"/>
      <x:c r="E17" s="26" t="str">
        <x:v>無法計算／待確認</x:v>
      </x:c>
      <x:c r="F17" s="29" t="str">
        <x:v>Required inputs unavailable</x:v>
      </x:c>
      <x:c r="G17" s="29" t="str"/>
    </x:row>
    <x:row r="18" ht="30" customHeight="1">
      <x:c r="A18" s="26" t="str">
        <x:v>operating_expense:current_interim</x:v>
      </x:c>
      <x:c r="B18" s="38" t="str">
        <x:v>無法計算／待確認</x:v>
      </x:c>
      <x:c r="C18" s="39"/>
      <x:c r="D18" s="39"/>
      <x:c r="E18" s="26" t="str">
        <x:v>無法計算／待確認</x:v>
      </x:c>
      <x:c r="F18" s="29" t="str">
        <x:v>Operating Expense 包含／排除COGS及完整範圍未核實；原值保留於來源清單</x:v>
      </x:c>
      <x:c r="G18" s="29" t="str">
        <x:v>/Users/yuntzuyu/Downloads/e-loan/Quarter/E-Loan YQYQ-Nexstar Q2.xls#Report1!R96; label=A96; dates=R6,R76; unit=O4</x:v>
      </x:c>
    </x:row>
    <x:row r="19" ht="30" customHeight="1">
      <x:c r="A19" s="26" t="str">
        <x:v>operating_expense:pct:current_interim</x:v>
      </x:c>
      <x:c r="B19" s="40" t="str">
        <x:v>無法計算／待確認</x:v>
      </x:c>
      <x:c r="C19" s="39"/>
      <x:c r="D19" s="39"/>
      <x:c r="E19" s="26" t="str">
        <x:v>無法計算／待確認</x:v>
      </x:c>
      <x:c r="F19" s="29" t="str">
        <x:v>Required inputs unavailable</x:v>
      </x:c>
      <x:c r="G19" s="29" t="str"/>
    </x:row>
    <x:row r="20" ht="30" customHeight="1">
      <x:c r="A20" s="26" t="str">
        <x:v>operating_income:prior_interim</x:v>
      </x:c>
      <x:c r="B20" s="38" t="n">
        <x:f>IF(AND(ISNUMBER(C20),ISNUMBER(D20)),C20*D20/1000000,"缺少資料")</x:f>
        <x:v>432</x:v>
      </x:c>
      <x:c r="C20" s="39" t="n">
        <x:v>432000</x:v>
      </x:c>
      <x:c r="D20" s="39" t="n">
        <x:v>1000</x:v>
      </x:c>
      <x:c r="E20" s="26" t="str">
        <x:v>sourced</x:v>
      </x:c>
      <x:c r="F20" s="29" t="str">
        <x:v>Operating Profit</x:v>
      </x:c>
      <x:c r="G20" s="29" t="str">
        <x:v>/Users/yuntzuyu/Downloads/e-loan/Quarter/E-Loan YQYQ-Nexstar Q2.xls#Report1!I97; label=A97; dates=I6,I76; unit=O4</x:v>
      </x:c>
    </x:row>
    <x:row r="21" ht="30" customHeight="1">
      <x:c r="A21" s="26" t="str">
        <x:v>operating_income:pct:prior_interim</x:v>
      </x:c>
      <x:c r="B21" s="40" t="n">
        <x:f>IF(AND(ISNUMBER(B20),ISNUMBER(B4)),IF(B4=0,"無法計算",B20/B4),"缺少資料")</x:f>
        <x:v>0.17546709991876522</x:v>
      </x:c>
      <x:c r="C21" s="39"/>
      <x:c r="D21" s="39"/>
      <x:c r="E21" s="26" t="str">
        <x:v>calculated</x:v>
      </x:c>
      <x:c r="F21" s="29" t="str">
        <x:v>operating_income / revenue</x:v>
      </x:c>
      <x:c r="G21" s="29" t="str"/>
    </x:row>
    <x:row r="22" ht="30" customHeight="1">
      <x:c r="A22" s="26" t="str">
        <x:v>operating_income:current_interim</x:v>
      </x:c>
      <x:c r="B22" s="38" t="n">
        <x:f>IF(AND(ISNUMBER(C22),ISNUMBER(D22)),C22*D22/1000000,"缺少資料")</x:f>
        <x:v>627</x:v>
      </x:c>
      <x:c r="C22" s="39" t="n">
        <x:v>627000</x:v>
      </x:c>
      <x:c r="D22" s="39" t="n">
        <x:v>1000</x:v>
      </x:c>
      <x:c r="E22" s="26" t="str">
        <x:v>sourced</x:v>
      </x:c>
      <x:c r="F22" s="29" t="str">
        <x:v>Operating Profit</x:v>
      </x:c>
      <x:c r="G22" s="29" t="str">
        <x:v>/Users/yuntzuyu/Downloads/e-loan/Quarter/E-Loan YQYQ-Nexstar Q2.xls#Report1!R97; label=A97; dates=R6,R76; unit=O4</x:v>
      </x:c>
    </x:row>
    <x:row r="23" ht="30" customHeight="1">
      <x:c r="A23" s="26" t="str">
        <x:v>operating_income:pct:current_interim</x:v>
      </x:c>
      <x:c r="B23" s="40" t="n">
        <x:f>IF(AND(ISNUMBER(B22),ISNUMBER(B6)),IF(B6=0,"無法計算",B22/B6),"缺少資料")</x:f>
        <x:v>0.1850103275302449</x:v>
      </x:c>
      <x:c r="C23" s="39"/>
      <x:c r="D23" s="39"/>
      <x:c r="E23" s="26" t="str">
        <x:v>calculated</x:v>
      </x:c>
      <x:c r="F23" s="29" t="str">
        <x:v>operating_income / revenue</x:v>
      </x:c>
      <x:c r="G23" s="29" t="str"/>
    </x:row>
    <x:row r="24" ht="30" customHeight="1">
      <x:c r="A24" s="26" t="str">
        <x:v>interest_expense:prior_interim</x:v>
      </x:c>
      <x:c r="B24" s="38" t="str">
        <x:v>無法計算／待確認</x:v>
      </x:c>
      <x:c r="C24" s="39"/>
      <x:c r="D24" s="39"/>
      <x:c r="E24" s="26" t="str">
        <x:v>無法計算／待確認</x:v>
      </x:c>
      <x:c r="F24" s="29" t="str">
        <x:v>Approved policy; company-specific source definition not yet verified; candidate retained</x:v>
      </x:c>
      <x:c r="G24" s="29" t="str">
        <x:v>/Users/yuntzuyu/Downloads/e-loan/Quarter/E-Loan YQYQ-Nexstar Q2.xls#Report1!I106; label=A106; dates=I6,I76; unit=O4</x:v>
      </x:c>
    </x:row>
    <x:row r="25" ht="30" customHeight="1">
      <x:c r="A25" s="26" t="str">
        <x:v>interest_expense:pct:prior_interim</x:v>
      </x:c>
      <x:c r="B25" s="40" t="str">
        <x:v>無法計算／待確認</x:v>
      </x:c>
      <x:c r="C25" s="39"/>
      <x:c r="D25" s="39"/>
      <x:c r="E25" s="26" t="str">
        <x:v>無法計算／待確認</x:v>
      </x:c>
      <x:c r="F25" s="29" t="str">
        <x:v>Required inputs unavailable</x:v>
      </x:c>
      <x:c r="G25" s="29" t="str"/>
    </x:row>
    <x:row r="26" ht="30" customHeight="1">
      <x:c r="A26" s="26" t="str">
        <x:v>interest_expense:current_interim</x:v>
      </x:c>
      <x:c r="B26" s="38" t="str">
        <x:v>無法計算／待確認</x:v>
      </x:c>
      <x:c r="C26" s="39"/>
      <x:c r="D26" s="39"/>
      <x:c r="E26" s="26" t="str">
        <x:v>無法計算／待確認</x:v>
      </x:c>
      <x:c r="F26" s="29" t="str">
        <x:v>Approved policy; company-specific source definition not yet verified; candidate retained</x:v>
      </x:c>
      <x:c r="G26" s="29" t="str">
        <x:v>/Users/yuntzuyu/Downloads/e-loan/Quarter/E-Loan YQYQ-Nexstar Q2.xls#Report1!R106; label=A106; dates=R6,R76; unit=O4</x:v>
      </x:c>
    </x:row>
    <x:row r="27" ht="30" customHeight="1">
      <x:c r="A27" s="26" t="str">
        <x:v>interest_expense:pct:current_interim</x:v>
      </x:c>
      <x:c r="B27" s="40" t="str">
        <x:v>無法計算／待確認</x:v>
      </x:c>
      <x:c r="C27" s="39"/>
      <x:c r="D27" s="39"/>
      <x:c r="E27" s="26" t="str">
        <x:v>無法計算／待確認</x:v>
      </x:c>
      <x:c r="F27" s="29" t="str">
        <x:v>Required inputs unavailable</x:v>
      </x:c>
      <x:c r="G27" s="29" t="str"/>
    </x:row>
    <x:row r="28" ht="30" customHeight="1">
      <x:c r="A28" s="26" t="str">
        <x:v>pretax_profit:prior_interim</x:v>
      </x:c>
      <x:c r="B28" s="38" t="n">
        <x:f>IF(AND(ISNUMBER(C28),ISNUMBER(D28)),C28*D28/1000000,"缺少資料")</x:f>
        <x:v>268</x:v>
      </x:c>
      <x:c r="C28" s="39" t="n">
        <x:v>268000</x:v>
      </x:c>
      <x:c r="D28" s="39" t="n">
        <x:v>1000</x:v>
      </x:c>
      <x:c r="E28" s="26" t="str">
        <x:v>sourced</x:v>
      </x:c>
      <x:c r="F28" s="29" t="str">
        <x:v>Pre-tax Profit (Loss)</x:v>
      </x:c>
      <x:c r="G28" s="29" t="str">
        <x:v>/Users/yuntzuyu/Downloads/e-loan/Quarter/E-Loan YQYQ-Nexstar Q2.xls#Report1!I111; label=A111; dates=I6,I76; unit=O4</x:v>
      </x:c>
    </x:row>
    <x:row r="29" ht="30" customHeight="1">
      <x:c r="A29" s="26" t="str">
        <x:v>pretax_profit:pct:prior_interim</x:v>
      </x:c>
      <x:c r="B29" s="40" t="n">
        <x:f>IF(AND(ISNUMBER(B28),ISNUMBER(B4)),IF(B4=0,"無法計算",B28/B4),"缺少資料")</x:f>
        <x:v>0.10885458976441917</x:v>
      </x:c>
      <x:c r="C29" s="39"/>
      <x:c r="D29" s="39"/>
      <x:c r="E29" s="26" t="str">
        <x:v>calculated</x:v>
      </x:c>
      <x:c r="F29" s="29" t="str">
        <x:v>pretax_profit / revenue</x:v>
      </x:c>
      <x:c r="G29" s="29" t="str"/>
    </x:row>
    <x:row r="30" ht="30" customHeight="1">
      <x:c r="A30" s="26" t="str">
        <x:v>pretax_profit:current_interim</x:v>
      </x:c>
      <x:c r="B30" s="38" t="n">
        <x:f>IF(AND(ISNUMBER(C30),ISNUMBER(D30)),C30*D30/1000000,"缺少資料")</x:f>
        <x:v>330</x:v>
      </x:c>
      <x:c r="C30" s="39" t="n">
        <x:v>330000</x:v>
      </x:c>
      <x:c r="D30" s="39" t="n">
        <x:v>1000</x:v>
      </x:c>
      <x:c r="E30" s="26" t="str">
        <x:v>sourced</x:v>
      </x:c>
      <x:c r="F30" s="29" t="str">
        <x:v>Pre-tax Profit (Loss)</x:v>
      </x:c>
      <x:c r="G30" s="29" t="str">
        <x:v>/Users/yuntzuyu/Downloads/e-loan/Quarter/E-Loan YQYQ-Nexstar Q2.xls#Report1!R111; label=A111; dates=R6,R76; unit=O4</x:v>
      </x:c>
    </x:row>
    <x:row r="31" ht="30" customHeight="1">
      <x:c r="A31" s="26" t="str">
        <x:v>pretax_profit:pct:current_interim</x:v>
      </x:c>
      <x:c r="B31" s="40" t="n">
        <x:f>IF(AND(ISNUMBER(B30),ISNUMBER(B6)),IF(B6=0,"無法計算",B30/B6),"缺少資料")</x:f>
        <x:v>0.09737385659486575</x:v>
      </x:c>
      <x:c r="C31" s="39"/>
      <x:c r="D31" s="39"/>
      <x:c r="E31" s="26" t="str">
        <x:v>calculated</x:v>
      </x:c>
      <x:c r="F31" s="29" t="str">
        <x:v>pretax_profit / revenue</x:v>
      </x:c>
      <x:c r="G31" s="29" t="str"/>
    </x:row>
    <x:row r="32" ht="30" customHeight="1">
      <x:c r="A32" s="26" t="str">
        <x:v>income_tax:prior_interim</x:v>
      </x:c>
      <x:c r="B32" s="38" t="n">
        <x:f>IF(AND(ISNUMBER(C32),ISNUMBER(D32)),C32*D32/1000000,"缺少資料")</x:f>
        <x:v>80</x:v>
      </x:c>
      <x:c r="C32" s="39" t="n">
        <x:v>80000</x:v>
      </x:c>
      <x:c r="D32" s="39" t="n">
        <x:v>1000</x:v>
      </x:c>
      <x:c r="E32" s="26" t="str">
        <x:v>sourced</x:v>
      </x:c>
      <x:c r="F32" s="29" t="str">
        <x:v>Income Tax Expense(Credit)</x:v>
      </x:c>
      <x:c r="G32" s="29" t="str">
        <x:v>/Users/yuntzuyu/Downloads/e-loan/Quarter/E-Loan YQYQ-Nexstar Q2.xls#Report1!I112; label=A112; dates=I6,I76; unit=O4</x:v>
      </x:c>
    </x:row>
    <x:row r="33" ht="30" customHeight="1">
      <x:c r="A33" s="26" t="str">
        <x:v>income_tax:pct:prior_interim</x:v>
      </x:c>
      <x:c r="B33" s="40" t="n">
        <x:f>IF(AND(ISNUMBER(B32),ISNUMBER(B4)),IF(B4=0,"無法計算",B32/B4),"缺少資料")</x:f>
        <x:v>0.03249390739236393</x:v>
      </x:c>
      <x:c r="C33" s="39"/>
      <x:c r="D33" s="39"/>
      <x:c r="E33" s="26" t="str">
        <x:v>calculated</x:v>
      </x:c>
      <x:c r="F33" s="29" t="str">
        <x:v>income_tax / revenue</x:v>
      </x:c>
      <x:c r="G33" s="29" t="str"/>
    </x:row>
    <x:row r="34" ht="30" customHeight="1">
      <x:c r="A34" s="26" t="str">
        <x:v>income_tax:current_interim</x:v>
      </x:c>
      <x:c r="B34" s="38" t="n">
        <x:f>IF(AND(ISNUMBER(C34),ISNUMBER(D34)),C34*D34/1000000,"缺少資料")</x:f>
        <x:v>57</x:v>
      </x:c>
      <x:c r="C34" s="39" t="n">
        <x:v>57000</x:v>
      </x:c>
      <x:c r="D34" s="39" t="n">
        <x:v>1000</x:v>
      </x:c>
      <x:c r="E34" s="26" t="str">
        <x:v>sourced</x:v>
      </x:c>
      <x:c r="F34" s="29" t="str">
        <x:v>Income Tax Expense(Credit)</x:v>
      </x:c>
      <x:c r="G34" s="29" t="str">
        <x:v>/Users/yuntzuyu/Downloads/e-loan/Quarter/E-Loan YQYQ-Nexstar Q2.xls#Report1!R112; label=A112; dates=R6,R76; unit=O4</x:v>
      </x:c>
    </x:row>
    <x:row r="35" ht="30" customHeight="1">
      <x:c r="A35" s="26" t="str">
        <x:v>income_tax:pct:current_interim</x:v>
      </x:c>
      <x:c r="B35" s="40" t="n">
        <x:f>IF(AND(ISNUMBER(B34),ISNUMBER(B6)),IF(B6=0,"無法計算",B34/B6),"缺少資料")</x:f>
        <x:v>0.01681912068456772</x:v>
      </x:c>
      <x:c r="C35" s="39"/>
      <x:c r="D35" s="39"/>
      <x:c r="E35" s="26" t="str">
        <x:v>calculated</x:v>
      </x:c>
      <x:c r="F35" s="29" t="str">
        <x:v>income_tax / revenue</x:v>
      </x:c>
      <x:c r="G35" s="29" t="str"/>
    </x:row>
    <x:row r="36" ht="30" customHeight="1">
      <x:c r="A36" s="26" t="str">
        <x:v>net_income:prior_interim</x:v>
      </x:c>
      <x:c r="B36" s="38" t="n">
        <x:f>IF(AND(ISNUMBER(C36),ISNUMBER(D36)),C36*D36/1000000,"缺少資料")</x:f>
        <x:v>188</x:v>
      </x:c>
      <x:c r="C36" s="39" t="n">
        <x:v>188000</x:v>
      </x:c>
      <x:c r="D36" s="39" t="n">
        <x:v>1000</x:v>
      </x:c>
      <x:c r="E36" s="26" t="str">
        <x:v>sourced</x:v>
      </x:c>
      <x:c r="F36" s="29" t="str">
        <x:v>After-tax Net Profit (Loss)</x:v>
      </x:c>
      <x:c r="G36" s="29" t="str">
        <x:v>/Users/yuntzuyu/Downloads/e-loan/Quarter/E-Loan YQYQ-Nexstar Q2.xls#Report1!I117; label=A117; dates=I6,I76; unit=O4</x:v>
      </x:c>
    </x:row>
    <x:row r="37" ht="30" customHeight="1">
      <x:c r="A37" s="26" t="str">
        <x:v>net_income:pct:prior_interim</x:v>
      </x:c>
      <x:c r="B37" s="40" t="n">
        <x:f>IF(AND(ISNUMBER(B36),ISNUMBER(B4)),IF(B4=0,"無法計算",B36/B4),"缺少資料")</x:f>
        <x:v>0.07636068237205523</x:v>
      </x:c>
      <x:c r="C37" s="39"/>
      <x:c r="D37" s="39"/>
      <x:c r="E37" s="26" t="str">
        <x:v>calculated</x:v>
      </x:c>
      <x:c r="F37" s="29" t="str">
        <x:v>net_income / revenue</x:v>
      </x:c>
      <x:c r="G37" s="29" t="str"/>
    </x:row>
    <x:row r="38" ht="30" customHeight="1">
      <x:c r="A38" s="26" t="str">
        <x:v>net_income:current_interim</x:v>
      </x:c>
      <x:c r="B38" s="38" t="n">
        <x:f>IF(AND(ISNUMBER(C38),ISNUMBER(D38)),C38*D38/1000000,"缺少資料")</x:f>
        <x:v>273</x:v>
      </x:c>
      <x:c r="C38" s="39" t="n">
        <x:v>273000</x:v>
      </x:c>
      <x:c r="D38" s="39" t="n">
        <x:v>1000</x:v>
      </x:c>
      <x:c r="E38" s="26" t="str">
        <x:v>sourced</x:v>
      </x:c>
      <x:c r="F38" s="29" t="str">
        <x:v>After-tax Net Profit (Loss)</x:v>
      </x:c>
      <x:c r="G38" s="29" t="str">
        <x:v>/Users/yuntzuyu/Downloads/e-loan/Quarter/E-Loan YQYQ-Nexstar Q2.xls#Report1!R117; label=A117; dates=R6,R76; unit=O4</x:v>
      </x:c>
    </x:row>
    <x:row r="39" ht="30" customHeight="1">
      <x:c r="A39" s="26" t="str">
        <x:v>net_income:pct:current_interim</x:v>
      </x:c>
      <x:c r="B39" s="40" t="n">
        <x:f>IF(AND(ISNUMBER(B38),ISNUMBER(B6)),IF(B6=0,"無法計算",B38/B6),"缺少資料")</x:f>
        <x:v>0.08055473591029802</x:v>
      </x:c>
      <x:c r="C39" s="39"/>
      <x:c r="D39" s="39"/>
      <x:c r="E39" s="26" t="str">
        <x:v>calculated</x:v>
      </x:c>
      <x:c r="F39" s="29" t="str">
        <x:v>net_income / revenue</x:v>
      </x:c>
      <x:c r="G39" s="29" t="str"/>
    </x:row>
    <x:row r="40" ht="30" customHeight="1">
      <x:c r="A40" s="26" t="str">
        <x:v>current_ratio:earlier_fy_end</x:v>
      </x:c>
      <x:c r="B40" s="40" t="n">
        <x:f>IF(AND(ISNUMBER(B68),ISNUMBER(B69)),IF(B69=0,"無法計算",B68/B69),"缺少資料")</x:f>
        <x:v>1.656449553001277</x:v>
      </x:c>
      <x:c r="C40" s="39"/>
      <x:c r="D40" s="39"/>
      <x:c r="E40" s="26" t="str">
        <x:v>calculated</x:v>
      </x:c>
      <x:c r="F40" s="29" t="str">
        <x:v>Current Assets / Current Liabilities</x:v>
      </x:c>
      <x:c r="G40" s="29" t="str"/>
    </x:row>
    <x:row r="41" ht="30" customHeight="1">
      <x:c r="A41" s="26" t="str">
        <x:v>current_ratio:prior_interim</x:v>
      </x:c>
      <x:c r="B41" s="40" t="n">
        <x:f>IF(AND(ISNUMBER(B75),ISNUMBER(B76)),IF(B76=0,"無法計算",B75/B76),"缺少資料")</x:f>
        <x:v>1.6889428918590523</x:v>
      </x:c>
      <x:c r="C41" s="39"/>
      <x:c r="D41" s="39"/>
      <x:c r="E41" s="26" t="str">
        <x:v>calculated</x:v>
      </x:c>
      <x:c r="F41" s="29" t="str">
        <x:v>Current Assets / Current Liabilities</x:v>
      </x:c>
      <x:c r="G41" s="29" t="str"/>
    </x:row>
    <x:row r="42" ht="30" customHeight="1">
      <x:c r="A42" s="26" t="str">
        <x:v>current_ratio:latest_fy_end</x:v>
      </x:c>
      <x:c r="B42" s="40" t="n">
        <x:f>IF(AND(ISNUMBER(B82),ISNUMBER(B83)),IF(B83=0,"無法計算",B82/B83),"缺少資料")</x:f>
        <x:v>2.071729957805907</x:v>
      </x:c>
      <x:c r="C42" s="39"/>
      <x:c r="D42" s="39"/>
      <x:c r="E42" s="26" t="str">
        <x:v>calculated</x:v>
      </x:c>
      <x:c r="F42" s="29" t="str">
        <x:v>Current Assets / Current Liabilities</x:v>
      </x:c>
      <x:c r="G42" s="29" t="str"/>
    </x:row>
    <x:row r="43" ht="30" customHeight="1">
      <x:c r="A43" s="26" t="str">
        <x:v>current_ratio:current_interim</x:v>
      </x:c>
      <x:c r="B43" s="40" t="n">
        <x:f>IF(AND(ISNUMBER(B89),ISNUMBER(B90)),IF(B90=0,"無法計算",B89/B90),"缺少資料")</x:f>
        <x:v>1.5615264797507789</x:v>
      </x:c>
      <x:c r="C43" s="39"/>
      <x:c r="D43" s="39"/>
      <x:c r="E43" s="26" t="str">
        <x:v>calculated</x:v>
      </x:c>
      <x:c r="F43" s="29" t="str">
        <x:v>Current Assets / Current Liabilities</x:v>
      </x:c>
      <x:c r="G43" s="29" t="str"/>
    </x:row>
    <x:row r="44" ht="30" customHeight="1">
      <x:c r="A44" s="26" t="str">
        <x:v>quick_ratio:earlier_fy_end</x:v>
      </x:c>
      <x:c r="B44" s="40" t="str">
        <x:v>無法計算／待確認</x:v>
      </x:c>
      <x:c r="C44" s="39"/>
      <x:c r="D44" s="39"/>
      <x:c r="E44" s="26" t="str">
        <x:v>無法計算／待確認</x:v>
      </x:c>
      <x:c r="F44" s="29" t="str">
        <x:v>Required inputs unavailable</x:v>
      </x:c>
      <x:c r="G44" s="29" t="str"/>
    </x:row>
    <x:row r="45" ht="30" customHeight="1">
      <x:c r="A45" s="26" t="str">
        <x:v>quick_ratio:prior_interim</x:v>
      </x:c>
      <x:c r="B45" s="40" t="str">
        <x:v>無法計算／待確認</x:v>
      </x:c>
      <x:c r="C45" s="39"/>
      <x:c r="D45" s="39"/>
      <x:c r="E45" s="26" t="str">
        <x:v>無法計算／待確認</x:v>
      </x:c>
      <x:c r="F45" s="29" t="str">
        <x:v>Required inputs unavailable</x:v>
      </x:c>
      <x:c r="G45" s="29" t="str"/>
    </x:row>
    <x:row r="46" ht="30" customHeight="1">
      <x:c r="A46" s="26" t="str">
        <x:v>quick_ratio:latest_fy_end</x:v>
      </x:c>
      <x:c r="B46" s="40" t="str">
        <x:v>無法計算／待確認</x:v>
      </x:c>
      <x:c r="C46" s="39"/>
      <x:c r="D46" s="39"/>
      <x:c r="E46" s="26" t="str">
        <x:v>無法計算／待確認</x:v>
      </x:c>
      <x:c r="F46" s="29" t="str">
        <x:v>Required inputs unavailable</x:v>
      </x:c>
      <x:c r="G46" s="29" t="str"/>
    </x:row>
    <x:row r="47" ht="30" customHeight="1">
      <x:c r="A47" s="26" t="str">
        <x:v>quick_ratio:current_interim</x:v>
      </x:c>
      <x:c r="B47" s="40" t="str">
        <x:v>無法計算／待確認</x:v>
      </x:c>
      <x:c r="C47" s="39"/>
      <x:c r="D47" s="39"/>
      <x:c r="E47" s="26" t="str">
        <x:v>無法計算／待確認</x:v>
      </x:c>
      <x:c r="F47" s="29" t="str">
        <x:v>Required inputs unavailable</x:v>
      </x:c>
      <x:c r="G47" s="29" t="str"/>
    </x:row>
    <x:row r="48" ht="30" customHeight="1">
      <x:c r="A48" s="26" t="str">
        <x:v>debt_ratio:earlier_fy_end</x:v>
      </x:c>
      <x:c r="B48" s="40" t="str">
        <x:v>無法計算／待確認</x:v>
      </x:c>
      <x:c r="C48" s="39"/>
      <x:c r="D48" s="39"/>
      <x:c r="E48" s="26" t="str">
        <x:v>無法計算／待確認</x:v>
      </x:c>
      <x:c r="F48" s="29" t="str">
        <x:v>Required inputs unavailable</x:v>
      </x:c>
      <x:c r="G48" s="29" t="str"/>
    </x:row>
    <x:row r="49" ht="30" customHeight="1">
      <x:c r="A49" s="26" t="str">
        <x:v>debt_ratio:prior_interim</x:v>
      </x:c>
      <x:c r="B49" s="40" t="str">
        <x:v>無法計算／待確認</x:v>
      </x:c>
      <x:c r="C49" s="39"/>
      <x:c r="D49" s="39"/>
      <x:c r="E49" s="26" t="str">
        <x:v>無法計算／待確認</x:v>
      </x:c>
      <x:c r="F49" s="29" t="str">
        <x:v>Required inputs unavailable</x:v>
      </x:c>
      <x:c r="G49" s="29" t="str"/>
    </x:row>
    <x:row r="50" ht="30" customHeight="1">
      <x:c r="A50" s="26" t="str">
        <x:v>debt_ratio:latest_fy_end</x:v>
      </x:c>
      <x:c r="B50" s="40" t="str">
        <x:v>無法計算／待確認</x:v>
      </x:c>
      <x:c r="C50" s="39"/>
      <x:c r="D50" s="39"/>
      <x:c r="E50" s="26" t="str">
        <x:v>無法計算／待確認</x:v>
      </x:c>
      <x:c r="F50" s="29" t="str">
        <x:v>Required inputs unavailable</x:v>
      </x:c>
      <x:c r="G50" s="29" t="str"/>
    </x:row>
    <x:row r="51" ht="30" customHeight="1">
      <x:c r="A51" s="26" t="str">
        <x:v>debt_ratio:current_interim</x:v>
      </x:c>
      <x:c r="B51" s="40" t="str">
        <x:v>無法計算／待確認</x:v>
      </x:c>
      <x:c r="C51" s="39"/>
      <x:c r="D51" s="39"/>
      <x:c r="E51" s="26" t="str">
        <x:v>無法計算／待確認</x:v>
      </x:c>
      <x:c r="F51" s="29" t="str">
        <x:v>Required inputs unavailable</x:v>
      </x:c>
      <x:c r="G51" s="29" t="str"/>
    </x:row>
    <x:row r="52" ht="30" customHeight="1">
      <x:c r="A52" s="26" t="str">
        <x:v>total_debt:earlier_fy_end</x:v>
      </x:c>
      <x:c r="B52" s="38" t="str">
        <x:v>缺少資料</x:v>
      </x:c>
      <x:c r="C52" s="39"/>
      <x:c r="D52" s="39"/>
      <x:c r="E52" s="26" t="str">
        <x:v>缺少資料</x:v>
      </x:c>
      <x:c r="F52" s="29" t="str">
        <x:v>既有底稿未提供可核實的來源科目／組成；不等於SEC未揭露</x:v>
      </x:c>
      <x:c r="G52" s="29" t="str"/>
    </x:row>
    <x:row r="53" ht="30" customHeight="1">
      <x:c r="A53" s="26" t="str">
        <x:v>total_debt:prior_interim</x:v>
      </x:c>
      <x:c r="B53" s="38" t="str">
        <x:v>缺少資料</x:v>
      </x:c>
      <x:c r="C53" s="39"/>
      <x:c r="D53" s="39"/>
      <x:c r="E53" s="26" t="str">
        <x:v>缺少資料</x:v>
      </x:c>
      <x:c r="F53" s="29" t="str">
        <x:v>既有底稿未提供可核實的來源科目／組成；不等於SEC未揭露</x:v>
      </x:c>
      <x:c r="G53" s="29" t="str"/>
    </x:row>
    <x:row r="54" ht="30" customHeight="1">
      <x:c r="A54" s="26" t="str">
        <x:v>total_debt:latest_fy_end</x:v>
      </x:c>
      <x:c r="B54" s="38" t="str">
        <x:v>缺少資料</x:v>
      </x:c>
      <x:c r="C54" s="39"/>
      <x:c r="D54" s="39"/>
      <x:c r="E54" s="26" t="str">
        <x:v>缺少資料</x:v>
      </x:c>
      <x:c r="F54" s="29" t="str">
        <x:v>既有底稿未提供可核實的來源科目／組成；不等於SEC未揭露</x:v>
      </x:c>
      <x:c r="G54" s="29" t="str"/>
    </x:row>
    <x:row r="55" ht="30" customHeight="1">
      <x:c r="A55" s="26" t="str">
        <x:v>total_debt:current_interim</x:v>
      </x:c>
      <x:c r="B55" s="38" t="str">
        <x:v>缺少資料</x:v>
      </x:c>
      <x:c r="C55" s="39"/>
      <x:c r="D55" s="39"/>
      <x:c r="E55" s="26" t="str">
        <x:v>缺少資料</x:v>
      </x:c>
      <x:c r="F55" s="29" t="str">
        <x:v>既有底稿未提供可核實的來源科目／組成；不等於SEC未揭露</x:v>
      </x:c>
      <x:c r="G55" s="29" t="str"/>
    </x:row>
    <x:row r="56" ht="30" customHeight="1">
      <x:c r="A56" s="26" t="str">
        <x:v>ltm_ebitda:earlier_fy_end</x:v>
      </x:c>
      <x:c r="B56" s="38" t="str">
        <x:v>無法計算／待確認</x:v>
      </x:c>
      <x:c r="C56" s="39"/>
      <x:c r="D56" s="39"/>
      <x:c r="E56" s="26" t="str">
        <x:v>無法計算／待確認</x:v>
      </x:c>
      <x:c r="F56" s="29" t="str">
        <x:v>Verified Standard EBITDA basis required</x:v>
      </x:c>
      <x:c r="G56" s="29" t="str"/>
    </x:row>
    <x:row r="57" ht="30" customHeight="1">
      <x:c r="A57" s="26" t="str">
        <x:v>ltm_ebitda:prior_interim</x:v>
      </x:c>
      <x:c r="B57" s="38" t="str">
        <x:v>無法計算／待確認</x:v>
      </x:c>
      <x:c r="C57" s="39"/>
      <x:c r="D57" s="39"/>
      <x:c r="E57" s="26" t="str">
        <x:v>無法計算／待確認</x:v>
      </x:c>
      <x:c r="F57" s="29" t="str">
        <x:v>Verified Standard EBITDA basis required</x:v>
      </x:c>
      <x:c r="G57" s="29" t="str"/>
    </x:row>
    <x:row r="58" ht="30" customHeight="1">
      <x:c r="A58" s="26" t="str">
        <x:v>ltm_ebitda:latest_fy_end</x:v>
      </x:c>
      <x:c r="B58" s="38" t="str">
        <x:v>無法計算／待確認</x:v>
      </x:c>
      <x:c r="C58" s="39"/>
      <x:c r="D58" s="39"/>
      <x:c r="E58" s="26" t="str">
        <x:v>無法計算／待確認</x:v>
      </x:c>
      <x:c r="F58" s="29" t="str">
        <x:v>Verified Standard EBITDA basis required</x:v>
      </x:c>
      <x:c r="G58" s="29" t="str"/>
    </x:row>
    <x:row r="59" ht="30" customHeight="1">
      <x:c r="A59" s="26" t="str">
        <x:v>ltm_ebitda:current_interim</x:v>
      </x:c>
      <x:c r="B59" s="38" t="str">
        <x:v>無法計算／待確認</x:v>
      </x:c>
      <x:c r="C59" s="39"/>
      <x:c r="D59" s="39"/>
      <x:c r="E59" s="26" t="str">
        <x:v>無法計算／待確認</x:v>
      </x:c>
      <x:c r="F59" s="29" t="str">
        <x:v>Verified Standard EBITDA basis required</x:v>
      </x:c>
      <x:c r="G59" s="29" t="str"/>
    </x:row>
    <x:row r="60" ht="30" customHeight="1">
      <x:c r="A60" s="26" t="str">
        <x:v>ebitda_basis:earlier_fy_end</x:v>
      </x:c>
      <x:c r="B60" s="38" t="str">
        <x:v>缺少資料</x:v>
      </x:c>
      <x:c r="C60" s="39"/>
      <x:c r="D60" s="39"/>
      <x:c r="E60" s="26" t="str">
        <x:v>缺少資料</x:v>
      </x:c>
      <x:c r="F60" s="29" t="str">
        <x:v>既有底稿未提供可核實的來源科目／組成；不等於SEC未揭露</x:v>
      </x:c>
      <x:c r="G60" s="29" t="str"/>
    </x:row>
    <x:row r="61" ht="30" customHeight="1">
      <x:c r="A61" s="26" t="str">
        <x:v>ebitda_basis:prior_interim</x:v>
      </x:c>
      <x:c r="B61" s="38" t="str">
        <x:v>缺少資料</x:v>
      </x:c>
      <x:c r="C61" s="39"/>
      <x:c r="D61" s="39"/>
      <x:c r="E61" s="26" t="str">
        <x:v>缺少資料</x:v>
      </x:c>
      <x:c r="F61" s="29" t="str">
        <x:v>既有底稿未提供可核實的來源科目／組成；不等於SEC未揭露</x:v>
      </x:c>
      <x:c r="G61" s="29" t="str"/>
    </x:row>
    <x:row r="62" ht="30" customHeight="1">
      <x:c r="A62" s="26" t="str">
        <x:v>ebitda_basis:latest_fy_end</x:v>
      </x:c>
      <x:c r="B62" s="38" t="str">
        <x:v>缺少資料</x:v>
      </x:c>
      <x:c r="C62" s="39"/>
      <x:c r="D62" s="39"/>
      <x:c r="E62" s="26" t="str">
        <x:v>缺少資料</x:v>
      </x:c>
      <x:c r="F62" s="29" t="str">
        <x:v>既有底稿未提供可核實的來源科目／組成；不等於SEC未揭露</x:v>
      </x:c>
      <x:c r="G62" s="29" t="str"/>
    </x:row>
    <x:row r="63" ht="30" customHeight="1">
      <x:c r="A63" s="26" t="str">
        <x:v>ebitda_basis:current_interim</x:v>
      </x:c>
      <x:c r="B63" s="38" t="str">
        <x:v>缺少資料</x:v>
      </x:c>
      <x:c r="C63" s="39"/>
      <x:c r="D63" s="39"/>
      <x:c r="E63" s="26" t="str">
        <x:v>缺少資料</x:v>
      </x:c>
      <x:c r="F63" s="29" t="str">
        <x:v>既有底稿未提供可核實的來源科目／組成；不等於SEC未揭露</x:v>
      </x:c>
      <x:c r="G63" s="29" t="str"/>
    </x:row>
    <x:row r="64" ht="30" customHeight="1">
      <x:c r="A64" s="26" t="str">
        <x:v>total_leverage:earlier_fy_end</x:v>
      </x:c>
      <x:c r="B64" s="41" t="str">
        <x:v>無法計算／待確認</x:v>
      </x:c>
      <x:c r="C64" s="39"/>
      <x:c r="D64" s="39"/>
      <x:c r="E64" s="26" t="str">
        <x:v>無法計算／待確認</x:v>
      </x:c>
      <x:c r="F64" s="29" t="str">
        <x:v>Required inputs unavailable</x:v>
      </x:c>
      <x:c r="G64" s="29" t="str"/>
    </x:row>
    <x:row r="65" ht="30" customHeight="1">
      <x:c r="A65" s="26" t="str">
        <x:v>total_leverage:prior_interim</x:v>
      </x:c>
      <x:c r="B65" s="41" t="str">
        <x:v>無法計算／待確認</x:v>
      </x:c>
      <x:c r="C65" s="39"/>
      <x:c r="D65" s="39"/>
      <x:c r="E65" s="26" t="str">
        <x:v>無法計算／待確認</x:v>
      </x:c>
      <x:c r="F65" s="29" t="str">
        <x:v>Required inputs unavailable</x:v>
      </x:c>
      <x:c r="G65" s="29" t="str"/>
    </x:row>
    <x:row r="66" ht="30" customHeight="1">
      <x:c r="A66" s="26" t="str">
        <x:v>total_leverage:latest_fy_end</x:v>
      </x:c>
      <x:c r="B66" s="41" t="str">
        <x:v>無法計算／待確認</x:v>
      </x:c>
      <x:c r="C66" s="39"/>
      <x:c r="D66" s="39"/>
      <x:c r="E66" s="26" t="str">
        <x:v>無法計算／待確認</x:v>
      </x:c>
      <x:c r="F66" s="29" t="str">
        <x:v>Required inputs unavailable</x:v>
      </x:c>
      <x:c r="G66" s="29" t="str"/>
    </x:row>
    <x:row r="67" ht="30" customHeight="1">
      <x:c r="A67" s="26" t="str">
        <x:v>total_leverage:current_interim</x:v>
      </x:c>
      <x:c r="B67" s="41" t="str">
        <x:v>無法計算／待確認</x:v>
      </x:c>
      <x:c r="C67" s="39"/>
      <x:c r="D67" s="39"/>
      <x:c r="E67" s="26" t="str">
        <x:v>無法計算／待確認</x:v>
      </x:c>
      <x:c r="F67" s="29" t="str">
        <x:v>Required inputs unavailable</x:v>
      </x:c>
      <x:c r="G67" s="29" t="str"/>
    </x:row>
    <x:row r="68" ht="30" customHeight="1">
      <x:c r="A68" s="26" t="str">
        <x:v>input:current_assets:earlier_fy_end</x:v>
      </x:c>
      <x:c r="B68" s="38" t="n">
        <x:f>IF(AND(ISNUMBER(C68),ISNUMBER(D68)),C68*D68/1000000,"缺少資料")</x:f>
        <x:v>1297</x:v>
      </x:c>
      <x:c r="C68" s="39" t="n">
        <x:v>1297000</x:v>
      </x:c>
      <x:c r="D68" s="39" t="n">
        <x:v>1000</x:v>
      </x:c>
      <x:c r="E68" s="26" t="str">
        <x:v>sourced</x:v>
      </x:c>
      <x:c r="F68" s="29" t="str">
        <x:v>Current Assets</x:v>
      </x:c>
      <x:c r="G68" s="29" t="str">
        <x:v>/Users/yuntzuyu/Downloads/e-loan/Quarter/E-Loan YQYQ-Nexstar Q2.xls#Report1!D10; label=A10; dates=D6,D76; unit=O4</x:v>
      </x:c>
    </x:row>
    <x:row r="69" ht="30" customHeight="1">
      <x:c r="A69" s="26" t="str">
        <x:v>input:current_liabilities:earlier_fy_end</x:v>
      </x:c>
      <x:c r="B69" s="38" t="n">
        <x:f>IF(AND(ISNUMBER(C69),ISNUMBER(D69)),C69*D69/1000000,"缺少資料")</x:f>
        <x:v>783</x:v>
      </x:c>
      <x:c r="C69" s="39" t="n">
        <x:v>783000</x:v>
      </x:c>
      <x:c r="D69" s="39" t="n">
        <x:v>1000</x:v>
      </x:c>
      <x:c r="E69" s="26" t="str">
        <x:v>sourced</x:v>
      </x:c>
      <x:c r="F69" s="29" t="str">
        <x:v>Current Liabilities</x:v>
      </x:c>
      <x:c r="G69" s="29" t="str">
        <x:v>/Users/yuntzuyu/Downloads/e-loan/Quarter/E-Loan YQYQ-Nexstar Q2.xls#Report1!D40; label=A40; dates=D6,D76; unit=O4</x:v>
      </x:c>
    </x:row>
    <x:row r="70" ht="30" customHeight="1">
      <x:c r="A70" s="26" t="str">
        <x:v>input:total_liabilities:earlier_fy_end</x:v>
      </x:c>
      <x:c r="B70" s="38" t="n">
        <x:f>IF(AND(ISNUMBER(C70),ISNUMBER(D70)),C70*D70/1000000,"缺少資料")</x:f>
        <x:v>9200</x:v>
      </x:c>
      <x:c r="C70" s="39" t="n">
        <x:v>9200000</x:v>
      </x:c>
      <x:c r="D70" s="39" t="n">
        <x:v>1000</x:v>
      </x:c>
      <x:c r="E70" s="26" t="str">
        <x:v>sourced</x:v>
      </x:c>
      <x:c r="F70" s="29" t="str">
        <x:v>Total Liabilities</x:v>
      </x:c>
      <x:c r="G70" s="29" t="str">
        <x:v>/Users/yuntzuyu/Downloads/e-loan/Quarter/E-Loan YQYQ-Nexstar Q2.xls#Report1!D62; label=A62; dates=D6,D76; unit=O4</x:v>
      </x:c>
    </x:row>
    <x:row r="71" ht="30" customHeight="1">
      <x:c r="A71" s="26" t="str">
        <x:v>input:quick_assets:earlier_fy_end</x:v>
      </x:c>
      <x:c r="B71" s="38" t="str">
        <x:v>缺少資料</x:v>
      </x:c>
      <x:c r="C71" s="39"/>
      <x:c r="D71" s="39"/>
      <x:c r="E71" s="26" t="str">
        <x:v>缺少資料</x:v>
      </x:c>
      <x:c r="F71" s="29" t="str">
        <x:v>既有底稿未提供可核實的來源科目／組成；不等於SEC未揭露</x:v>
      </x:c>
      <x:c r="G71" s="29" t="str"/>
    </x:row>
    <x:row r="72" ht="30" customHeight="1">
      <x:c r="A72" s="26" t="str">
        <x:v>input:net_worth:earlier_fy_end</x:v>
      </x:c>
      <x:c r="B72" s="38" t="str">
        <x:v>無法計算／待確認</x:v>
      </x:c>
      <x:c r="C72" s="39"/>
      <x:c r="D72" s="39"/>
      <x:c r="E72" s="26" t="str">
        <x:v>無法計算／待確認</x:v>
      </x:c>
      <x:c r="F72" s="29" t="str">
        <x:v>Approved policy; company-specific source definition not yet verified; candidate retained</x:v>
      </x:c>
      <x:c r="G72" s="29" t="str">
        <x:v>/Users/yuntzuyu/Downloads/e-loan/Quarter/E-Loan YQYQ-Nexstar Q2.xls#Report1!D70; label=A70; dates=D6,D76; unit=O4</x:v>
      </x:c>
    </x:row>
    <x:row r="73" ht="30" customHeight="1">
      <x:c r="A73" s="26" t="str">
        <x:v>input:capitalized_interest:earlier_fy_end</x:v>
      </x:c>
      <x:c r="B73" s="38" t="str">
        <x:v>缺少資料</x:v>
      </x:c>
      <x:c r="C73" s="39"/>
      <x:c r="D73" s="39"/>
      <x:c r="E73" s="26" t="str">
        <x:v>缺少資料</x:v>
      </x:c>
      <x:c r="F73" s="29" t="str">
        <x:v>原始儲存格空白／無可用數值</x:v>
      </x:c>
      <x:c r="G73" s="29" t="str">
        <x:v>/Users/yuntzuyu/Downloads/e-loan/Quarter/E-Loan YQYQ-Nexstar Q2.xls#Report1!D120; label=A120; dates=D6,D76; unit=O4</x:v>
      </x:c>
    </x:row>
    <x:row r="74" ht="30" customHeight="1">
      <x:c r="A74" s="26" t="str">
        <x:v>input:da:earlier_fy_end</x:v>
      </x:c>
      <x:c r="B74" s="38" t="n">
        <x:f>IF(AND(ISNUMBER(C74),ISNUMBER(D74)),C74*D74/1000000,"缺少資料")</x:f>
        <x:v>808</x:v>
      </x:c>
      <x:c r="C74" s="39" t="n">
        <x:v>808000</x:v>
      </x:c>
      <x:c r="D74" s="39" t="n">
        <x:v>1000</x:v>
      </x:c>
      <x:c r="E74" s="26" t="str">
        <x:v>sourced</x:v>
      </x:c>
      <x:c r="F74" s="29" t="str">
        <x:v>Depreciation &amp; Amortization</x:v>
      </x:c>
      <x:c r="G74" s="29" t="str">
        <x:v>/Users/yuntzuyu/Downloads/e-loan/Quarter/E-Loan YQYQ-Nexstar Q2.xls#Report1!D121; label=A121; dates=D6,D76; unit=O4</x:v>
      </x:c>
    </x:row>
    <x:row r="75" ht="30" customHeight="1">
      <x:c r="A75" s="26" t="str">
        <x:v>input:current_assets:prior_interim</x:v>
      </x:c>
      <x:c r="B75" s="38" t="n">
        <x:f>IF(AND(ISNUMBER(C75),ISNUMBER(D75)),C75*D75/1000000,"缺少資料")</x:f>
        <x:v>1390</x:v>
      </x:c>
      <x:c r="C75" s="39" t="n">
        <x:v>1390000</x:v>
      </x:c>
      <x:c r="D75" s="39" t="n">
        <x:v>1000</x:v>
      </x:c>
      <x:c r="E75" s="26" t="str">
        <x:v>sourced</x:v>
      </x:c>
      <x:c r="F75" s="29" t="str">
        <x:v>Current Assets</x:v>
      </x:c>
      <x:c r="G75" s="29" t="str">
        <x:v>/Users/yuntzuyu/Downloads/e-loan/Quarter/E-Loan YQYQ-Nexstar Q2.xls#Report1!I10; label=A10; dates=I6,I76; unit=O4</x:v>
      </x:c>
    </x:row>
    <x:row r="76" ht="30" customHeight="1">
      <x:c r="A76" s="26" t="str">
        <x:v>input:current_liabilities:prior_interim</x:v>
      </x:c>
      <x:c r="B76" s="38" t="n">
        <x:f>IF(AND(ISNUMBER(C76),ISNUMBER(D76)),C76*D76/1000000,"缺少資料")</x:f>
        <x:v>823</x:v>
      </x:c>
      <x:c r="C76" s="39" t="n">
        <x:v>823000</x:v>
      </x:c>
      <x:c r="D76" s="39" t="n">
        <x:v>1000</x:v>
      </x:c>
      <x:c r="E76" s="26" t="str">
        <x:v>sourced</x:v>
      </x:c>
      <x:c r="F76" s="29" t="str">
        <x:v>Current Liabilities</x:v>
      </x:c>
      <x:c r="G76" s="29" t="str">
        <x:v>/Users/yuntzuyu/Downloads/e-loan/Quarter/E-Loan YQYQ-Nexstar Q2.xls#Report1!I40; label=A40; dates=I6,I76; unit=O4</x:v>
      </x:c>
    </x:row>
    <x:row r="77" ht="30" customHeight="1">
      <x:c r="A77" s="26" t="str">
        <x:v>input:total_liabilities:prior_interim</x:v>
      </x:c>
      <x:c r="B77" s="38" t="n">
        <x:f>IF(AND(ISNUMBER(C77),ISNUMBER(D77)),C77*D77/1000000,"缺少資料")</x:f>
        <x:v>9072</x:v>
      </x:c>
      <x:c r="C77" s="39" t="n">
        <x:v>9072000</x:v>
      </x:c>
      <x:c r="D77" s="39" t="n">
        <x:v>1000</x:v>
      </x:c>
      <x:c r="E77" s="26" t="str">
        <x:v>sourced</x:v>
      </x:c>
      <x:c r="F77" s="29" t="str">
        <x:v>Total Liabilities</x:v>
      </x:c>
      <x:c r="G77" s="29" t="str">
        <x:v>/Users/yuntzuyu/Downloads/e-loan/Quarter/E-Loan YQYQ-Nexstar Q2.xls#Report1!I62; label=A62; dates=I6,I76; unit=O4</x:v>
      </x:c>
    </x:row>
    <x:row r="78" ht="30" customHeight="1">
      <x:c r="A78" s="26" t="str">
        <x:v>input:quick_assets:prior_interim</x:v>
      </x:c>
      <x:c r="B78" s="38" t="str">
        <x:v>缺少資料</x:v>
      </x:c>
      <x:c r="C78" s="39"/>
      <x:c r="D78" s="39"/>
      <x:c r="E78" s="26" t="str">
        <x:v>缺少資料</x:v>
      </x:c>
      <x:c r="F78" s="29" t="str">
        <x:v>既有底稿未提供可核實的來源科目／組成；不等於SEC未揭露</x:v>
      </x:c>
      <x:c r="G78" s="29" t="str"/>
    </x:row>
    <x:row r="79" ht="30" customHeight="1">
      <x:c r="A79" s="26" t="str">
        <x:v>input:net_worth:prior_interim</x:v>
      </x:c>
      <x:c r="B79" s="38" t="str">
        <x:v>無法計算／待確認</x:v>
      </x:c>
      <x:c r="C79" s="39"/>
      <x:c r="D79" s="39"/>
      <x:c r="E79" s="26" t="str">
        <x:v>無法計算／待確認</x:v>
      </x:c>
      <x:c r="F79" s="29" t="str">
        <x:v>Approved policy; company-specific source definition not yet verified; candidate retained</x:v>
      </x:c>
      <x:c r="G79" s="29" t="str">
        <x:v>/Users/yuntzuyu/Downloads/e-loan/Quarter/E-Loan YQYQ-Nexstar Q2.xls#Report1!I70; label=A70; dates=I6,I76; unit=O4</x:v>
      </x:c>
    </x:row>
    <x:row r="80" ht="30" customHeight="1">
      <x:c r="A80" s="26" t="str">
        <x:v>input:capitalized_interest:prior_interim</x:v>
      </x:c>
      <x:c r="B80" s="38" t="str">
        <x:v>缺少資料</x:v>
      </x:c>
      <x:c r="C80" s="39"/>
      <x:c r="D80" s="39"/>
      <x:c r="E80" s="26" t="str">
        <x:v>缺少資料</x:v>
      </x:c>
      <x:c r="F80" s="29" t="str">
        <x:v>原始儲存格空白／無可用數值</x:v>
      </x:c>
      <x:c r="G80" s="29" t="str">
        <x:v>/Users/yuntzuyu/Downloads/e-loan/Quarter/E-Loan YQYQ-Nexstar Q2.xls#Report1!I120; label=A120; dates=I6,I76; unit=O4</x:v>
      </x:c>
    </x:row>
    <x:row r="81" ht="30" customHeight="1">
      <x:c r="A81" s="26" t="str">
        <x:v>input:da:prior_interim</x:v>
      </x:c>
      <x:c r="B81" s="38" t="n">
        <x:f>IF(AND(ISNUMBER(C81),ISNUMBER(D81)),C81*D81/1000000,"缺少資料")</x:f>
        <x:v>402</x:v>
      </x:c>
      <x:c r="C81" s="39" t="n">
        <x:v>402000</x:v>
      </x:c>
      <x:c r="D81" s="39" t="n">
        <x:v>1000</x:v>
      </x:c>
      <x:c r="E81" s="26" t="str">
        <x:v>sourced</x:v>
      </x:c>
      <x:c r="F81" s="29" t="str">
        <x:v>Depreciation &amp; Amortization</x:v>
      </x:c>
      <x:c r="G81" s="29" t="str">
        <x:v>/Users/yuntzuyu/Downloads/e-loan/Quarter/E-Loan YQYQ-Nexstar Q2.xls#Report1!I121; label=A121; dates=I6,I76; unit=O4</x:v>
      </x:c>
    </x:row>
    <x:row r="82" ht="30" customHeight="1">
      <x:c r="A82" s="26" t="str">
        <x:v>input:current_assets:latest_fy_end</x:v>
      </x:c>
      <x:c r="B82" s="38" t="n">
        <x:f>IF(AND(ISNUMBER(C82),ISNUMBER(D82)),C82*D82/1000000,"缺少資料")</x:f>
        <x:v>1473</x:v>
      </x:c>
      <x:c r="C82" s="39" t="n">
        <x:v>1473000</x:v>
      </x:c>
      <x:c r="D82" s="39" t="n">
        <x:v>1000</x:v>
      </x:c>
      <x:c r="E82" s="26" t="str">
        <x:v>sourced</x:v>
      </x:c>
      <x:c r="F82" s="29" t="str">
        <x:v>Current Assets</x:v>
      </x:c>
      <x:c r="G82" s="29" t="str">
        <x:v>/Users/yuntzuyu/Downloads/e-loan/Quarter/E-Loan YQYQ-Nexstar Q2.xls#Report1!M10; label=A10; dates=M6,M76; unit=O4</x:v>
      </x:c>
    </x:row>
    <x:row r="83" ht="30" customHeight="1">
      <x:c r="A83" s="26" t="str">
        <x:v>input:current_liabilities:latest_fy_end</x:v>
      </x:c>
      <x:c r="B83" s="38" t="n">
        <x:f>IF(AND(ISNUMBER(C83),ISNUMBER(D83)),C83*D83/1000000,"缺少資料")</x:f>
        <x:v>711</x:v>
      </x:c>
      <x:c r="C83" s="39" t="n">
        <x:v>711000</x:v>
      </x:c>
      <x:c r="D83" s="39" t="n">
        <x:v>1000</x:v>
      </x:c>
      <x:c r="E83" s="26" t="str">
        <x:v>sourced</x:v>
      </x:c>
      <x:c r="F83" s="29" t="str">
        <x:v>Current Liabilities</x:v>
      </x:c>
      <x:c r="G83" s="29" t="str">
        <x:v>/Users/yuntzuyu/Downloads/e-loan/Quarter/E-Loan YQYQ-Nexstar Q2.xls#Report1!M40; label=A40; dates=M6,M76; unit=O4</x:v>
      </x:c>
    </x:row>
    <x:row r="84" ht="30" customHeight="1">
      <x:c r="A84" s="26" t="str">
        <x:v>input:total_liabilities:latest_fy_end</x:v>
      </x:c>
      <x:c r="B84" s="38" t="n">
        <x:f>IF(AND(ISNUMBER(C84),ISNUMBER(D84)),C84*D84/1000000,"缺少資料")</x:f>
        <x:v>8784</x:v>
      </x:c>
      <x:c r="C84" s="39" t="n">
        <x:v>8784000</x:v>
      </x:c>
      <x:c r="D84" s="39" t="n">
        <x:v>1000</x:v>
      </x:c>
      <x:c r="E84" s="26" t="str">
        <x:v>sourced</x:v>
      </x:c>
      <x:c r="F84" s="29" t="str">
        <x:v>Total Liabilities</x:v>
      </x:c>
      <x:c r="G84" s="29" t="str">
        <x:v>/Users/yuntzuyu/Downloads/e-loan/Quarter/E-Loan YQYQ-Nexstar Q2.xls#Report1!M62; label=A62; dates=M6,M76; unit=O4</x:v>
      </x:c>
    </x:row>
    <x:row r="85" ht="30" customHeight="1">
      <x:c r="A85" s="26" t="str">
        <x:v>input:quick_assets:latest_fy_end</x:v>
      </x:c>
      <x:c r="B85" s="38" t="str">
        <x:v>缺少資料</x:v>
      </x:c>
      <x:c r="C85" s="39"/>
      <x:c r="D85" s="39"/>
      <x:c r="E85" s="26" t="str">
        <x:v>缺少資料</x:v>
      </x:c>
      <x:c r="F85" s="29" t="str">
        <x:v>既有底稿未提供可核實的來源科目／組成；不等於SEC未揭露</x:v>
      </x:c>
      <x:c r="G85" s="29" t="str"/>
    </x:row>
    <x:row r="86" ht="30" customHeight="1">
      <x:c r="A86" s="26" t="str">
        <x:v>input:net_worth:latest_fy_end</x:v>
      </x:c>
      <x:c r="B86" s="38" t="str">
        <x:v>無法計算／待確認</x:v>
      </x:c>
      <x:c r="C86" s="39"/>
      <x:c r="D86" s="39"/>
      <x:c r="E86" s="26" t="str">
        <x:v>無法計算／待確認</x:v>
      </x:c>
      <x:c r="F86" s="29" t="str">
        <x:v>Approved policy; company-specific source definition not yet verified; candidate retained</x:v>
      </x:c>
      <x:c r="G86" s="29" t="str">
        <x:v>/Users/yuntzuyu/Downloads/e-loan/Quarter/E-Loan YQYQ-Nexstar Q2.xls#Report1!M70; label=A70; dates=M6,M76; unit=O4</x:v>
      </x:c>
    </x:row>
    <x:row r="87" ht="30" customHeight="1">
      <x:c r="A87" s="26" t="str">
        <x:v>input:capitalized_interest:latest_fy_end</x:v>
      </x:c>
      <x:c r="B87" s="38" t="str">
        <x:v>缺少資料</x:v>
      </x:c>
      <x:c r="C87" s="39"/>
      <x:c r="D87" s="39"/>
      <x:c r="E87" s="26" t="str">
        <x:v>缺少資料</x:v>
      </x:c>
      <x:c r="F87" s="29" t="str">
        <x:v>原始儲存格空白／無可用數值</x:v>
      </x:c>
      <x:c r="G87" s="29" t="str">
        <x:v>/Users/yuntzuyu/Downloads/e-loan/Quarter/E-Loan YQYQ-Nexstar Q2.xls#Report1!M120; label=A120; dates=M6,M76; unit=O4</x:v>
      </x:c>
    </x:row>
    <x:row r="88" ht="30" customHeight="1">
      <x:c r="A88" s="26" t="str">
        <x:v>input:da:latest_fy_end</x:v>
      </x:c>
      <x:c r="B88" s="38" t="n">
        <x:f>IF(AND(ISNUMBER(C88),ISNUMBER(D88)),C88*D88/1000000,"缺少資料")</x:f>
        <x:v>785</x:v>
      </x:c>
      <x:c r="C88" s="39" t="n">
        <x:v>785000</x:v>
      </x:c>
      <x:c r="D88" s="39" t="n">
        <x:v>1000</x:v>
      </x:c>
      <x:c r="E88" s="26" t="str">
        <x:v>sourced</x:v>
      </x:c>
      <x:c r="F88" s="29" t="str">
        <x:v>Depreciation &amp; Amortization</x:v>
      </x:c>
      <x:c r="G88" s="29" t="str">
        <x:v>/Users/yuntzuyu/Downloads/e-loan/Quarter/E-Loan YQYQ-Nexstar Q2.xls#Report1!M121; label=A121; dates=M6,M76; unit=O4</x:v>
      </x:c>
    </x:row>
    <x:row r="89" ht="30" customHeight="1">
      <x:c r="A89" s="26" t="str">
        <x:v>input:current_assets:current_interim</x:v>
      </x:c>
      <x:c r="B89" s="38" t="n">
        <x:f>IF(AND(ISNUMBER(C89),ISNUMBER(D89)),C89*D89/1000000,"缺少資料")</x:f>
        <x:v>2005</x:v>
      </x:c>
      <x:c r="C89" s="39" t="n">
        <x:v>2005000</x:v>
      </x:c>
      <x:c r="D89" s="39" t="n">
        <x:v>1000</x:v>
      </x:c>
      <x:c r="E89" s="26" t="str">
        <x:v>sourced</x:v>
      </x:c>
      <x:c r="F89" s="29" t="str">
        <x:v>Current Assets</x:v>
      </x:c>
      <x:c r="G89" s="29" t="str">
        <x:v>/Users/yuntzuyu/Downloads/e-loan/Quarter/E-Loan YQYQ-Nexstar Q2.xls#Report1!R10; label=A10; dates=R6,R76; unit=O4</x:v>
      </x:c>
    </x:row>
    <x:row r="90" ht="30" customHeight="1">
      <x:c r="A90" s="26" t="str">
        <x:v>input:current_liabilities:current_interim</x:v>
      </x:c>
      <x:c r="B90" s="38" t="n">
        <x:f>IF(AND(ISNUMBER(C90),ISNUMBER(D90)),C90*D90/1000000,"缺少資料")</x:f>
        <x:v>1284</x:v>
      </x:c>
      <x:c r="C90" s="39" t="n">
        <x:v>1284000</x:v>
      </x:c>
      <x:c r="D90" s="39" t="n">
        <x:v>1000</x:v>
      </x:c>
      <x:c r="E90" s="26" t="str">
        <x:v>sourced</x:v>
      </x:c>
      <x:c r="F90" s="29" t="str">
        <x:v>Current Liabilities</x:v>
      </x:c>
      <x:c r="G90" s="29" t="str">
        <x:v>/Users/yuntzuyu/Downloads/e-loan/Quarter/E-Loan YQYQ-Nexstar Q2.xls#Report1!R40; label=A40; dates=R6,R76; unit=O4</x:v>
      </x:c>
    </x:row>
    <x:row r="91" ht="30" customHeight="1">
      <x:c r="A91" s="26" t="str">
        <x:v>input:total_liabilities:current_interim</x:v>
      </x:c>
      <x:c r="B91" s="38" t="n">
        <x:f>IF(AND(ISNUMBER(C91),ISNUMBER(D91)),C91*D91/1000000,"缺少資料")</x:f>
        <x:v>15451</x:v>
      </x:c>
      <x:c r="C91" s="39" t="n">
        <x:v>15451000</x:v>
      </x:c>
      <x:c r="D91" s="39" t="n">
        <x:v>1000</x:v>
      </x:c>
      <x:c r="E91" s="26" t="str">
        <x:v>sourced</x:v>
      </x:c>
      <x:c r="F91" s="29" t="str">
        <x:v>Total Liabilities</x:v>
      </x:c>
      <x:c r="G91" s="29" t="str">
        <x:v>/Users/yuntzuyu/Downloads/e-loan/Quarter/E-Loan YQYQ-Nexstar Q2.xls#Report1!R62; label=A62; dates=R6,R76; unit=O4</x:v>
      </x:c>
    </x:row>
    <x:row r="92" ht="30" customHeight="1">
      <x:c r="A92" s="26" t="str">
        <x:v>input:quick_assets:current_interim</x:v>
      </x:c>
      <x:c r="B92" s="38" t="str">
        <x:v>缺少資料</x:v>
      </x:c>
      <x:c r="C92" s="39"/>
      <x:c r="D92" s="39"/>
      <x:c r="E92" s="26" t="str">
        <x:v>缺少資料</x:v>
      </x:c>
      <x:c r="F92" s="29" t="str">
        <x:v>既有底稿未提供可核實的來源科目／組成；不等於SEC未揭露</x:v>
      </x:c>
      <x:c r="G92" s="29" t="str"/>
    </x:row>
    <x:row r="93" ht="30" customHeight="1">
      <x:c r="A93" s="26" t="str">
        <x:v>input:net_worth:current_interim</x:v>
      </x:c>
      <x:c r="B93" s="38" t="str">
        <x:v>無法計算／待確認</x:v>
      </x:c>
      <x:c r="C93" s="39"/>
      <x:c r="D93" s="39"/>
      <x:c r="E93" s="26" t="str">
        <x:v>無法計算／待確認</x:v>
      </x:c>
      <x:c r="F93" s="29" t="str">
        <x:v>Approved policy; company-specific source definition not yet verified; candidate retained</x:v>
      </x:c>
      <x:c r="G93" s="29" t="str">
        <x:v>/Users/yuntzuyu/Downloads/e-loan/Quarter/E-Loan YQYQ-Nexstar Q2.xls#Report1!R70; label=A70; dates=R6,R76; unit=O4</x:v>
      </x:c>
    </x:row>
    <x:row r="94" ht="30" customHeight="1">
      <x:c r="A94" s="26" t="str">
        <x:v>input:capitalized_interest:current_interim</x:v>
      </x:c>
      <x:c r="B94" s="38" t="str">
        <x:v>缺少資料</x:v>
      </x:c>
      <x:c r="C94" s="39"/>
      <x:c r="D94" s="39"/>
      <x:c r="E94" s="26" t="str">
        <x:v>缺少資料</x:v>
      </x:c>
      <x:c r="F94" s="29" t="str">
        <x:v>原始儲存格空白／無可用數值</x:v>
      </x:c>
      <x:c r="G94" s="29" t="str">
        <x:v>/Users/yuntzuyu/Downloads/e-loan/Quarter/E-Loan YQYQ-Nexstar Q2.xls#Report1!R120; label=A120; dates=R6,R76; unit=O4</x:v>
      </x:c>
    </x:row>
    <x:row r="95" ht="30" customHeight="1">
      <x:c r="A95" s="26" t="str">
        <x:v>input:da:current_interim</x:v>
      </x:c>
      <x:c r="B95" s="38" t="n">
        <x:f>IF(AND(ISNUMBER(C95),ISNUMBER(D95)),C95*D95/1000000,"缺少資料")</x:f>
        <x:v>438</x:v>
      </x:c>
      <x:c r="C95" s="39" t="n">
        <x:v>438000</x:v>
      </x:c>
      <x:c r="D95" s="39" t="n">
        <x:v>1000</x:v>
      </x:c>
      <x:c r="E95" s="26" t="str">
        <x:v>sourced</x:v>
      </x:c>
      <x:c r="F95" s="29" t="str">
        <x:v>Depreciation &amp; Amortization</x:v>
      </x:c>
      <x:c r="G95" s="29" t="str">
        <x:v>/Users/yuntzuyu/Downloads/e-loan/Quarter/E-Loan YQYQ-Nexstar Q2.xls#Report1!R121; label=A121; dates=R6,R76; unit=O4</x:v>
      </x:c>
    </x:row>
    <x:row r="96" ht="30" customHeight="1">
      <x:c r="A96" s="26" t="str">
        <x:v>revenue_growth:earlier_fy_end</x:v>
      </x:c>
      <x:c r="B96" s="40" t="str">
        <x:v>無法計算／待確認</x:v>
      </x:c>
      <x:c r="C96" s="39"/>
      <x:c r="D96" s="39"/>
      <x:c r="E96" s="26" t="str">
        <x:v>無法計算／待確認</x:v>
      </x:c>
      <x:c r="F96" s="29" t="str">
        <x:v>Required inputs unavailable</x:v>
      </x:c>
      <x:c r="G96" s="29" t="str"/>
    </x:row>
    <x:row r="97" ht="30" customHeight="1">
      <x:c r="A97" s="26" t="str">
        <x:v>gross_margin:earlier_fy_end</x:v>
      </x:c>
      <x:c r="B97" s="40" t="str">
        <x:v>無法計算／待確認</x:v>
      </x:c>
      <x:c r="C97" s="39"/>
      <x:c r="D97" s="39"/>
      <x:c r="E97" s="26" t="str">
        <x:v>無法計算／待確認</x:v>
      </x:c>
      <x:c r="F97" s="29" t="str">
        <x:v>Required inputs unavailable</x:v>
      </x:c>
      <x:c r="G97" s="29" t="str"/>
    </x:row>
    <x:row r="98" ht="30" customHeight="1">
      <x:c r="A98" s="26" t="str">
        <x:v>operating_margin:earlier_fy_end</x:v>
      </x:c>
      <x:c r="B98" s="40" t="str">
        <x:v>無法計算／待確認</x:v>
      </x:c>
      <x:c r="C98" s="39"/>
      <x:c r="D98" s="39"/>
      <x:c r="E98" s="26" t="str">
        <x:v>無法計算／待確認</x:v>
      </x:c>
      <x:c r="F98" s="29" t="str">
        <x:v>Required inputs unavailable</x:v>
      </x:c>
      <x:c r="G98" s="29" t="str"/>
    </x:row>
    <x:row r="99" ht="30" customHeight="1">
      <x:c r="A99" s="26" t="str">
        <x:v>pretax_margin:earlier_fy_end</x:v>
      </x:c>
      <x:c r="B99" s="40" t="str">
        <x:v>無法計算／待確認</x:v>
      </x:c>
      <x:c r="C99" s="39"/>
      <x:c r="D99" s="39"/>
      <x:c r="E99" s="26" t="str">
        <x:v>無法計算／待確認</x:v>
      </x:c>
      <x:c r="F99" s="29" t="str">
        <x:v>Required inputs unavailable</x:v>
      </x:c>
      <x:c r="G99" s="29" t="str"/>
    </x:row>
    <x:row r="100" ht="30" customHeight="1">
      <x:c r="A100" s="26" t="str">
        <x:v>operating_margin_change:earlier_fy_end</x:v>
      </x:c>
      <x:c r="B100" s="40" t="str">
        <x:v>無法計算／待確認</x:v>
      </x:c>
      <x:c r="C100" s="39"/>
      <x:c r="D100" s="39"/>
      <x:c r="E100" s="26" t="str">
        <x:v>無法計算／待確認</x:v>
      </x:c>
      <x:c r="F100" s="29" t="str">
        <x:v>Required inputs unavailable</x:v>
      </x:c>
      <x:c r="G100" s="29" t="str"/>
    </x:row>
    <x:row r="101" ht="30" customHeight="1">
      <x:c r="A101" s="26" t="str">
        <x:v>revenue_growth:prior_interim</x:v>
      </x:c>
      <x:c r="B101" s="40" t="str">
        <x:v>無法計算／待確認</x:v>
      </x:c>
      <x:c r="C101" s="39"/>
      <x:c r="D101" s="39"/>
      <x:c r="E101" s="26" t="str">
        <x:v>無法計算／待確認</x:v>
      </x:c>
      <x:c r="F101" s="29" t="str">
        <x:v>Required inputs unavailable</x:v>
      </x:c>
      <x:c r="G101" s="29" t="str"/>
    </x:row>
    <x:row r="102" ht="30" customHeight="1">
      <x:c r="A102" s="26" t="str">
        <x:v>gross_margin:prior_interim</x:v>
      </x:c>
      <x:c r="B102" s="40" t="n">
        <x:f>IF(AND(ISNUMBER(B12),ISNUMBER(B4)),IF(B4=0,"無法計算",B12/B4),"缺少資料")</x:f>
        <x:v>0.5499593826157595</x:v>
      </x:c>
      <x:c r="C102" s="39"/>
      <x:c r="D102" s="39"/>
      <x:c r="E102" s="26" t="str">
        <x:v>calculated</x:v>
      </x:c>
      <x:c r="F102" s="29" t="str">
        <x:v>Gross Profit / Revenues</x:v>
      </x:c>
      <x:c r="G102" s="29" t="str"/>
    </x:row>
    <x:row r="103" ht="30" customHeight="1">
      <x:c r="A103" s="26" t="str">
        <x:v>operating_margin:prior_interim</x:v>
      </x:c>
      <x:c r="B103" s="40" t="n">
        <x:f>IF(AND(ISNUMBER(B20),ISNUMBER(B4)),IF(B4=0,"無法計算",B20/B4),"缺少資料")</x:f>
        <x:v>0.17546709991876522</x:v>
      </x:c>
      <x:c r="C103" s="39"/>
      <x:c r="D103" s="39"/>
      <x:c r="E103" s="26" t="str">
        <x:v>calculated</x:v>
      </x:c>
      <x:c r="F103" s="29" t="str">
        <x:v>Operating Profit / Revenues</x:v>
      </x:c>
      <x:c r="G103" s="29" t="str"/>
    </x:row>
    <x:row r="104" ht="30" customHeight="1">
      <x:c r="A104" s="26" t="str">
        <x:v>pretax_margin:prior_interim</x:v>
      </x:c>
      <x:c r="B104" s="40" t="n">
        <x:f>IF(AND(ISNUMBER(B28),ISNUMBER(B4)),IF(B4=0,"無法計算",B28/B4),"缺少資料")</x:f>
        <x:v>0.10885458976441917</x:v>
      </x:c>
      <x:c r="C104" s="39"/>
      <x:c r="D104" s="39"/>
      <x:c r="E104" s="26" t="str">
        <x:v>calculated</x:v>
      </x:c>
      <x:c r="F104" s="29" t="str">
        <x:v>Pre-tax Profit / Revenues</x:v>
      </x:c>
      <x:c r="G104" s="29" t="str"/>
    </x:row>
    <x:row r="105" ht="30" customHeight="1">
      <x:c r="A105" s="26" t="str">
        <x:v>operating_margin_change:prior_interim</x:v>
      </x:c>
      <x:c r="B105" s="40" t="str">
        <x:v>無法計算／待確認</x:v>
      </x:c>
      <x:c r="C105" s="39"/>
      <x:c r="D105" s="39"/>
      <x:c r="E105" s="26" t="str">
        <x:v>無法計算／待確認</x:v>
      </x:c>
      <x:c r="F105" s="29" t="str">
        <x:v>Required inputs unavailable</x:v>
      </x:c>
      <x:c r="G105" s="29" t="str"/>
    </x:row>
    <x:row r="106" ht="30" customHeight="1">
      <x:c r="A106" s="26" t="str">
        <x:v>revenue_growth:latest_fy_end</x:v>
      </x:c>
      <x:c r="B106" s="40" t="str">
        <x:v>無法計算／待確認</x:v>
      </x:c>
      <x:c r="C106" s="39"/>
      <x:c r="D106" s="39"/>
      <x:c r="E106" s="26" t="str">
        <x:v>無法計算／待確認</x:v>
      </x:c>
      <x:c r="F106" s="29" t="str">
        <x:v>Required inputs unavailable</x:v>
      </x:c>
      <x:c r="G106" s="29" t="str"/>
    </x:row>
    <x:row r="107" ht="30" customHeight="1">
      <x:c r="A107" s="26" t="str">
        <x:v>gross_margin:latest_fy_end</x:v>
      </x:c>
      <x:c r="B107" s="40" t="str">
        <x:v>無法計算／待確認</x:v>
      </x:c>
      <x:c r="C107" s="39"/>
      <x:c r="D107" s="39"/>
      <x:c r="E107" s="26" t="str">
        <x:v>無法計算／待確認</x:v>
      </x:c>
      <x:c r="F107" s="29" t="str">
        <x:v>Required inputs unavailable</x:v>
      </x:c>
      <x:c r="G107" s="29" t="str"/>
    </x:row>
    <x:row r="108" ht="30" customHeight="1">
      <x:c r="A108" s="26" t="str">
        <x:v>operating_margin:latest_fy_end</x:v>
      </x:c>
      <x:c r="B108" s="40" t="str">
        <x:v>無法計算／待確認</x:v>
      </x:c>
      <x:c r="C108" s="39"/>
      <x:c r="D108" s="39"/>
      <x:c r="E108" s="26" t="str">
        <x:v>無法計算／待確認</x:v>
      </x:c>
      <x:c r="F108" s="29" t="str">
        <x:v>Required inputs unavailable</x:v>
      </x:c>
      <x:c r="G108" s="29" t="str"/>
    </x:row>
    <x:row r="109" ht="30" customHeight="1">
      <x:c r="A109" s="26" t="str">
        <x:v>pretax_margin:latest_fy_end</x:v>
      </x:c>
      <x:c r="B109" s="40" t="str">
        <x:v>無法計算／待確認</x:v>
      </x:c>
      <x:c r="C109" s="39"/>
      <x:c r="D109" s="39"/>
      <x:c r="E109" s="26" t="str">
        <x:v>無法計算／待確認</x:v>
      </x:c>
      <x:c r="F109" s="29" t="str">
        <x:v>Required inputs unavailable</x:v>
      </x:c>
      <x:c r="G109" s="29" t="str"/>
    </x:row>
    <x:row r="110" ht="30" customHeight="1">
      <x:c r="A110" s="26" t="str">
        <x:v>operating_margin_change:latest_fy_end</x:v>
      </x:c>
      <x:c r="B110" s="40" t="str">
        <x:v>無法計算／待確認</x:v>
      </x:c>
      <x:c r="C110" s="39"/>
      <x:c r="D110" s="39"/>
      <x:c r="E110" s="26" t="str">
        <x:v>無法計算／待確認</x:v>
      </x:c>
      <x:c r="F110" s="29" t="str">
        <x:v>Required inputs unavailable</x:v>
      </x:c>
      <x:c r="G110" s="29" t="str"/>
    </x:row>
    <x:row r="111" ht="30" customHeight="1">
      <x:c r="A111" s="26" t="str">
        <x:v>revenue_growth:current_interim</x:v>
      </x:c>
      <x:c r="B111" s="40" t="n">
        <x:f>IF(AND(ISNUMBER(B6),ISNUMBER(B4)),IF(B4=0,"無法計算",(B6-B4)/B4),"缺少資料")</x:f>
        <x:v>0.3765231519090171</x:v>
      </x:c>
      <x:c r="C111" s="39"/>
      <x:c r="D111" s="39"/>
      <x:c r="E111" s="26" t="str">
        <x:v>calculated</x:v>
      </x:c>
      <x:c r="F111" s="29" t="str">
        <x:v>(Current Year Revenues - Previous Year Revenues) / Previous Year Revenues</x:v>
      </x:c>
      <x:c r="G111" s="29" t="str"/>
    </x:row>
    <x:row r="112" ht="30" customHeight="1">
      <x:c r="A112" s="26" t="str">
        <x:v>gross_margin:current_interim</x:v>
      </x:c>
      <x:c r="B112" s="40" t="n">
        <x:f>IF(AND(ISNUMBER(B14),ISNUMBER(B6)),IF(B6=0,"無法計算",B14/B6),"缺少資料")</x:f>
        <x:v>0.5452935969312481</x:v>
      </x:c>
      <x:c r="C112" s="39"/>
      <x:c r="D112" s="39"/>
      <x:c r="E112" s="26" t="str">
        <x:v>calculated</x:v>
      </x:c>
      <x:c r="F112" s="29" t="str">
        <x:v>Gross Profit / Revenues</x:v>
      </x:c>
      <x:c r="G112" s="29" t="str"/>
    </x:row>
    <x:row r="113" ht="30" customHeight="1">
      <x:c r="A113" s="26" t="str">
        <x:v>operating_margin:current_interim</x:v>
      </x:c>
      <x:c r="B113" s="40" t="n">
        <x:f>IF(AND(ISNUMBER(B22),ISNUMBER(B6)),IF(B6=0,"無法計算",B22/B6),"缺少資料")</x:f>
        <x:v>0.1850103275302449</x:v>
      </x:c>
      <x:c r="C113" s="39"/>
      <x:c r="D113" s="39"/>
      <x:c r="E113" s="26" t="str">
        <x:v>calculated</x:v>
      </x:c>
      <x:c r="F113" s="29" t="str">
        <x:v>Operating Profit / Revenues</x:v>
      </x:c>
      <x:c r="G113" s="29" t="str"/>
    </x:row>
    <x:row r="114" ht="30" customHeight="1">
      <x:c r="A114" s="26" t="str">
        <x:v>pretax_margin:current_interim</x:v>
      </x:c>
      <x:c r="B114" s="40" t="n">
        <x:f>IF(AND(ISNUMBER(B30),ISNUMBER(B6)),IF(B6=0,"無法計算",B30/B6),"缺少資料")</x:f>
        <x:v>0.09737385659486575</x:v>
      </x:c>
      <x:c r="C114" s="39"/>
      <x:c r="D114" s="39"/>
      <x:c r="E114" s="26" t="str">
        <x:v>calculated</x:v>
      </x:c>
      <x:c r="F114" s="29" t="str">
        <x:v>Pre-tax Profit / Revenues</x:v>
      </x:c>
      <x:c r="G114" s="29" t="str"/>
    </x:row>
    <x:row r="115" ht="30" customHeight="1">
      <x:c r="A115" s="26" t="str">
        <x:v>operating_margin_change:current_interim</x:v>
      </x:c>
      <x:c r="B115" s="40" t="n">
        <x:f>IF(AND(ISNUMBER(B113),ISNUMBER(B103)),B113-B103,"缺少資料")</x:f>
        <x:v>0.009543227611479688</x:v>
      </x:c>
      <x:c r="C115" s="39"/>
      <x:c r="D115" s="39"/>
      <x:c r="E115" s="26" t="str">
        <x:v>calculated</x:v>
      </x:c>
      <x:c r="F115" s="29" t="str">
        <x:v>Current Operating Profit Margin - Previous Operating Profit Margin</x:v>
      </x:c>
      <x:c r="G115" s="29" t="str"/>
    </x:row>
    <x:row r="116">
      <x:c r="A116" s="26"/>
      <x:c r="B116" s="26"/>
      <x:c r="C116" s="26"/>
      <x:c r="D116" s="26"/>
      <x:c r="E116" s="26"/>
      <x:c r="F116" s="26"/>
      <x:c r="G116" s="26"/>
    </x:row>
    <x:row r="117">
      <x:c r="A117" s="26"/>
      <x:c r="B117" s="26"/>
      <x:c r="C117" s="26"/>
      <x:c r="D117" s="26"/>
      <x:c r="E117" s="26"/>
      <x:c r="F117" s="26"/>
      <x:c r="G117" s="26"/>
    </x:row>
    <x:row r="118">
      <x:c r="A118" s="42" t="str">
        <x:v>Evidence ID</x:v>
      </x:c>
      <x:c r="B118" s="42" t="str">
        <x:v>種類</x:v>
      </x:c>
      <x:c r="C118" s="42" t="str">
        <x:v>Source ID</x:v>
      </x:c>
      <x:c r="D118" s="42" t="str">
        <x:v>版本</x:v>
      </x:c>
      <x:c r="E118" s="42" t="str">
        <x:v>文件日期</x:v>
      </x:c>
      <x:c r="F118" s="42" t="str">
        <x:v>來源位置</x:v>
      </x:c>
      <x:c r="G118" s="42" t="str">
        <x:v>原始證據內容</x:v>
      </x:c>
    </x:row>
    <x:row r="119" ht="56" customHeight="1">
      <x:c r="A119" s="29" t="str">
        <x:v>calendar:5e663fde59e2d8867e27f63101624f6f6c89aaa3e4d96a1e7435168a3f26a89f</x:v>
      </x:c>
      <x:c r="B119" s="29" t="str">
        <x:v>calendar</x:v>
      </x:c>
      <x:c r="C119" s="29" t="str">
        <x:v>workbook:5e663fde59e2d8867e27f63101624f6f6c89aaa3e4d96a1e7435168a3f26a89f</x:v>
      </x:c>
      <x:c r="D119" s="29" t="str">
        <x:v>5e663fde59e2d8867e27f63101624f6f6c89aaa3e4d96a1e7435168a3f26a89f</x:v>
      </x:c>
      <x:c r="E119" s="29" t="str">
        <x:v>2026-10-24</x:v>
      </x:c>
      <x:c r="F119" s="29" t="str">
        <x:v>/Users/yuntzuyu/Downloads/e-loan/Quarter/E-Loan YQYQ-Nexstar Q2.xls#Report1!D6:R6,D76:R76,O4,A1,A4</x:v>
      </x:c>
      <x:c r="G119" s="29" t="str">
        <x:v>Read-only local workbook review snapshot; actual column date strings, USD thousand and consolidated entity checked. This date is the review-snapshot date, not the unknown SEC filing/publication date. Company SEC fiscal calendar not independently verified.</x:v>
      </x:c>
    </x:row>
    <x:row r="120" ht="42" customHeight="1">
      <x:c r="A120" s="29" t="str">
        <x:v>approval:user-approved-2026-10-24:DEC-01</x:v>
      </x:c>
      <x:c r="B120" s="29" t="str">
        <x:v>definition</x:v>
      </x:c>
      <x:c r="C120" s="29" t="str">
        <x:v>user-approved-policy</x:v>
      </x:c>
      <x:c r="D120" s="29" t="str">
        <x:v>user-approved-2026-10-24</x:v>
      </x:c>
      <x:c r="E120" s="29" t="str">
        <x:v>2026-10-24</x:v>
      </x:c>
      <x:c r="F120" s="29" t="str">
        <x:v>references/loan-review-acceptance-spec-v1.0.md#9.1-9.2</x:v>
      </x:c>
      <x:c r="G120" s="29" t="str">
        <x:v>Unrestricted cash and equivalents + liquid short-term investments + net receivables; no inventory, prepayments, restricted cash or duplicate investments</x:v>
      </x:c>
    </x:row>
    <x:row r="121" ht="42" customHeight="1">
      <x:c r="A121" s="29" t="str">
        <x:v>approval:user-approved-2026-10-24:DEC-02</x:v>
      </x:c>
      <x:c r="B121" s="29" t="str">
        <x:v>definition</x:v>
      </x:c>
      <x:c r="C121" s="29" t="str">
        <x:v>user-approved-policy</x:v>
      </x:c>
      <x:c r="D121" s="29" t="str">
        <x:v>user-approved-2026-10-24</x:v>
      </x:c>
      <x:c r="E121" s="29" t="str">
        <x:v>2026-10-24</x:v>
      </x:c>
      <x:c r="F121" s="29" t="str">
        <x:v>references/loan-review-acceptance-spec-v1.0.md#9.1-9.2</x:v>
      </x:c>
      <x:c r="G121" s="29" t="str">
        <x:v>Consolidated total equity including NCI; debt includes interest-bearing borrowings, bonds and finance leases, excludes operating leases; no duplicate current portions</x:v>
      </x:c>
    </x:row>
    <x:row r="122" ht="32" customHeight="1">
      <x:c r="A122" s="29" t="str">
        <x:v>approval:user-approved-2026-10-24:DEC-04</x:v>
      </x:c>
      <x:c r="B122" s="29" t="str">
        <x:v>definition</x:v>
      </x:c>
      <x:c r="C122" s="29" t="str">
        <x:v>user-approved-policy</x:v>
      </x:c>
      <x:c r="D122" s="29" t="str">
        <x:v>user-approved-2026-10-24</x:v>
      </x:c>
      <x:c r="E122" s="29" t="str">
        <x:v>2026-10-24</x:v>
      </x:c>
      <x:c r="F122" s="29" t="str">
        <x:v>references/loan-review-acceptance-spec-v1.0.md#9.1-9.2</x:v>
      </x:c>
      <x:c r="G122" s="29" t="str">
        <x:v>Opening/closing average; verified complete Months; allowance deducted once; no LTM annualization</x:v>
      </x:c>
    </x:row>
    <x:row r="123" ht="32" customHeight="1">
      <x:c r="A123" s="29" t="str">
        <x:v>approval:user-approved-2026-10-24:DEC-05</x:v>
      </x:c>
      <x:c r="B123" s="29" t="str">
        <x:v>definition</x:v>
      </x:c>
      <x:c r="C123" s="29" t="str">
        <x:v>user-approved-policy</x:v>
      </x:c>
      <x:c r="D123" s="29" t="str">
        <x:v>user-approved-2026-10-24</x:v>
      </x:c>
      <x:c r="E123" s="29" t="str">
        <x:v>2026-10-24</x:v>
      </x:c>
      <x:c r="F123" s="29" t="str">
        <x:v>references/loan-review-acceptance-spec-v1.0.md#9.1-9.2</x:v>
      </x:c>
      <x:c r="G123" s="29" t="str">
        <x:v>Gross expensed interest, without netting interest income; separately disclosed capitalized interest, no duplication</x:v>
      </x:c>
    </x:row>
    <x:row r="124" ht="32" customHeight="1">
      <x:c r="A124" s="29" t="str">
        <x:v>approval:user-approved-2026-10-24:DEC-06</x:v>
      </x:c>
      <x:c r="B124" s="29" t="str">
        <x:v>definition</x:v>
      </x:c>
      <x:c r="C124" s="29" t="str">
        <x:v>user-approved-policy</x:v>
      </x:c>
      <x:c r="D124" s="29" t="str">
        <x:v>user-approved-2026-10-24</x:v>
      </x:c>
      <x:c r="E124" s="29" t="str">
        <x:v>2026-10-24</x:v>
      </x:c>
      <x:c r="F124" s="29" t="str">
        <x:v>references/loan-review-acceptance-spec-v1.0.md#9.1-9.2</x:v>
      </x:c>
      <x:c r="G124" s="29" t="str">
        <x:v>Standard EBITDA: Net Income + Interest + Taxes + D&amp;A</x:v>
      </x:c>
    </x:row>
    <x:row r="125" ht="32" customHeight="1">
      <x:c r="A125" s="29" t="str">
        <x:v>approval:user-approved-2026-10-24:DEC-07</x:v>
      </x:c>
      <x:c r="B125" s="29" t="str">
        <x:v>definition</x:v>
      </x:c>
      <x:c r="C125" s="29" t="str">
        <x:v>user-approved-policy</x:v>
      </x:c>
      <x:c r="D125" s="29" t="str">
        <x:v>user-approved-2026-10-24</x:v>
      </x:c>
      <x:c r="E125" s="29" t="str">
        <x:v>2026-10-24</x:v>
      </x:c>
      <x:c r="F125" s="29" t="str">
        <x:v>references/loan-review-acceptance-spec-v1.0.md#9.1-9.2</x:v>
      </x:c>
      <x:c r="G125" s="29" t="str">
        <x:v>Only publicly available sources at explicit as-of; latest applicable restatement by that date; retain prior versions</x:v>
      </x:c>
    </x:row>
    <x:row r="126" ht="32" customHeight="1">
      <x:c r="A126" s="29" t="str">
        <x:v>approval:user-approved-2026-10-24:DEC-08</x:v>
      </x:c>
      <x:c r="B126" s="29" t="str">
        <x:v>definition</x:v>
      </x:c>
      <x:c r="C126" s="29" t="str">
        <x:v>user-approved-policy</x:v>
      </x:c>
      <x:c r="D126" s="29" t="str">
        <x:v>user-approved-2026-10-24</x:v>
      </x:c>
      <x:c r="E126" s="29" t="str">
        <x:v>2026-10-24</x:v>
      </x:c>
      <x:c r="F126" s="29" t="str">
        <x:v>references/loan-review-acceptance-spec-v1.0.md#9.1-9.2</x:v>
      </x:c>
      <x:c r="G126" s="29" t="str">
        <x:v>Explicit unavailable states; critical missing facts and incomplete reconciliations block final acceptance</x:v>
      </x:c>
    </x:row>
    <x:row r="127" ht="32" customHeight="1">
      <x:c r="A127" s="29" t="str">
        <x:v>approval:user-approved-2026-10-24:DEC-09</x:v>
      </x:c>
      <x:c r="B127" s="29" t="str">
        <x:v>definition</x:v>
      </x:c>
      <x:c r="C127" s="29" t="str">
        <x:v>user-approved-policy</x:v>
      </x:c>
      <x:c r="D127" s="29" t="str">
        <x:v>user-approved-2026-10-24</x:v>
      </x:c>
      <x:c r="E127" s="29" t="str">
        <x:v>2026-10-24</x:v>
      </x:c>
      <x:c r="F127" s="29" t="str">
        <x:v>references/loan-review-acceptance-spec-v1.0.md#9.1-9.2</x:v>
      </x:c>
      <x:c r="G127" s="29" t="str">
        <x:v>Millions in source currency; two decimal places; parentheses for negatives; retain original precision and scale</x:v>
      </x:c>
    </x:row>
    <x:row r="128" ht="32" customHeight="1">
      <x:c r="A128" s="29" t="str">
        <x:v>approval:user-approved-2026-10-24:DEC-10</x:v>
      </x:c>
      <x:c r="B128" s="29" t="str">
        <x:v>definition</x:v>
      </x:c>
      <x:c r="C128" s="29" t="str">
        <x:v>user-approved-policy</x:v>
      </x:c>
      <x:c r="D128" s="29" t="str">
        <x:v>user-approved-2026-10-24</x:v>
      </x:c>
      <x:c r="E128" s="29" t="str">
        <x:v>2026-10-24</x:v>
      </x:c>
      <x:c r="F128" s="29" t="str">
        <x:v>references/loan-review-acceptance-spec-v1.0.md#9.1-9.2</x:v>
      </x:c>
      <x:c r="G128" s="29" t="str">
        <x:v>Structured inputs and validated workbook adapters only; non-SEC provenance remains explicit</x:v>
      </x:c>
    </x:row>
    <x:row r="129" ht="32" customHeight="1">
      <x:c r="A129" s="29" t="str">
        <x:v>approval:user-approved-2026-10-24:DEC-11</x:v>
      </x:c>
      <x:c r="B129" s="29" t="str">
        <x:v>definition</x:v>
      </x:c>
      <x:c r="C129" s="29" t="str">
        <x:v>user-approved-policy</x:v>
      </x:c>
      <x:c r="D129" s="29" t="str">
        <x:v>user-approved-2026-10-24</x:v>
      </x:c>
      <x:c r="E129" s="29" t="str">
        <x:v>2026-10-24</x:v>
      </x:c>
      <x:c r="F129" s="29" t="str">
        <x:v>references/loan-review-acceptance-spec-v1.0.md#9.1-9.2</x:v>
      </x:c>
      <x:c r="G129" s="29" t="str">
        <x:v>Dashboard excluded from this delivery</x:v>
      </x:c>
    </x:row>
    <x:row r="130" ht="70" customHeight="1">
      <x:c r="A130" s="29" t="str">
        <x:v>workbook:5e663fde59e2d8867e27f63101624f6f6c89aaa3e4d96a1e7435168a3f26a89f:I80</x:v>
      </x:c>
      <x:c r="B130" s="29" t="str">
        <x:v>fact</x:v>
      </x:c>
      <x:c r="C130" s="29" t="str">
        <x:v>workbook:5e663fde59e2d8867e27f63101624f6f6c89aaa3e4d96a1e7435168a3f26a89f</x:v>
      </x:c>
      <x:c r="D130" s="29" t="str">
        <x:v>5e663fde59e2d8867e27f63101624f6f6c89aaa3e4d96a1e7435168a3f26a89f</x:v>
      </x:c>
      <x:c r="E130" s="29" t="str">
        <x:v>2026-10-24</x:v>
      </x:c>
      <x:c r="F130" s="29" t="str">
        <x:v>/Users/yuntzuyu/Downloads/e-loan/Quarter/E-Loan YQYQ-Nexstar Q2.xls#Report1!I80; label=A80; dates=I6,I76; unit=O4</x:v>
      </x:c>
      <x:c r="G130" s="29" t="str">
        <x:v>{"value": "2462000.0", "unit": "USD", "scale": "1000", "definition": "Revenues", "basis": "", "excerpt": "Revenues: 2462000.0; consolidation=A1; entity=A4; period=2025-01-01~2025-06-30; raw cell retained", "source_url": "/Users/yuntzuyu/Downloads/e-loan/Quarter/E-Loan YQYQ-Nexstar Q2.xls", "reason": ""}</x:v>
      </x:c>
    </x:row>
    <x:row r="131" ht="70" customHeight="1">
      <x:c r="A131" s="29" t="str">
        <x:v>workbook:5e663fde59e2d8867e27f63101624f6f6c89aaa3e4d96a1e7435168a3f26a89f:R80</x:v>
      </x:c>
      <x:c r="B131" s="29" t="str">
        <x:v>fact</x:v>
      </x:c>
      <x:c r="C131" s="29" t="str">
        <x:v>workbook:5e663fde59e2d8867e27f63101624f6f6c89aaa3e4d96a1e7435168a3f26a89f</x:v>
      </x:c>
      <x:c r="D131" s="29" t="str">
        <x:v>5e663fde59e2d8867e27f63101624f6f6c89aaa3e4d96a1e7435168a3f26a89f</x:v>
      </x:c>
      <x:c r="E131" s="29" t="str">
        <x:v>2026-10-24</x:v>
      </x:c>
      <x:c r="F131" s="29" t="str">
        <x:v>/Users/yuntzuyu/Downloads/e-loan/Quarter/E-Loan YQYQ-Nexstar Q2.xls#Report1!R80; label=A80; dates=R6,R76; unit=O4</x:v>
      </x:c>
      <x:c r="G131" s="29" t="str">
        <x:v>{"value": "3389000.0", "unit": "USD", "scale": "1000", "definition": "Revenues", "basis": "", "excerpt": "Revenues: 3389000.0; consolidation=A1; entity=A4; period=2026-01-01~2026-06-30; raw cell retained", "source_url": "/Users/yuntzuyu/Downloads/e-loan/Quarter/E-Loan YQYQ-Nexstar Q2.xls", "reason": ""}</x:v>
      </x:c>
    </x:row>
    <x:row r="132" ht="70" customHeight="1">
      <x:c r="A132" s="29" t="str">
        <x:v>workbook:5e663fde59e2d8867e27f63101624f6f6c89aaa3e4d96a1e7435168a3f26a89f:I86</x:v>
      </x:c>
      <x:c r="B132" s="29" t="str">
        <x:v>fact</x:v>
      </x:c>
      <x:c r="C132" s="29" t="str">
        <x:v>workbook:5e663fde59e2d8867e27f63101624f6f6c89aaa3e4d96a1e7435168a3f26a89f</x:v>
      </x:c>
      <x:c r="D132" s="29" t="str">
        <x:v>5e663fde59e2d8867e27f63101624f6f6c89aaa3e4d96a1e7435168a3f26a89f</x:v>
      </x:c>
      <x:c r="E132" s="29" t="str">
        <x:v>2026-10-24</x:v>
      </x:c>
      <x:c r="F132" s="29" t="str">
        <x:v>/Users/yuntzuyu/Downloads/e-loan/Quarter/E-Loan YQYQ-Nexstar Q2.xls#Report1!I86; label=A86; dates=I6,I76; unit=O4</x:v>
      </x:c>
      <x:c r="G132" s="29" t="str">
        <x:v>{"value": "1108000.0", "unit": "USD", "scale": "1000", "definition": "Operating Cost", "basis": "", "excerpt": "Operating Cost: 1108000.0; consolidation=A1; entity=A4; period=2025-01-01~2025-06-30; raw cell retained", "source_url": "/Users/yuntzuyu/Downloads/e-loan/Quarter/E-Loan YQYQ-Nexstar Q2.xls", "reason": ""}</x:v>
      </x:c>
    </x:row>
    <x:row r="133" ht="70" customHeight="1">
      <x:c r="A133" s="29" t="str">
        <x:v>workbook:5e663fde59e2d8867e27f63101624f6f6c89aaa3e4d96a1e7435168a3f26a89f:R86</x:v>
      </x:c>
      <x:c r="B133" s="29" t="str">
        <x:v>fact</x:v>
      </x:c>
      <x:c r="C133" s="29" t="str">
        <x:v>workbook:5e663fde59e2d8867e27f63101624f6f6c89aaa3e4d96a1e7435168a3f26a89f</x:v>
      </x:c>
      <x:c r="D133" s="29" t="str">
        <x:v>5e663fde59e2d8867e27f63101624f6f6c89aaa3e4d96a1e7435168a3f26a89f</x:v>
      </x:c>
      <x:c r="E133" s="29" t="str">
        <x:v>2026-10-24</x:v>
      </x:c>
      <x:c r="F133" s="29" t="str">
        <x:v>/Users/yuntzuyu/Downloads/e-loan/Quarter/E-Loan YQYQ-Nexstar Q2.xls#Report1!R86; label=A86; dates=R6,R76; unit=O4</x:v>
      </x:c>
      <x:c r="G133" s="29" t="str">
        <x:v>{"value": "1541000.0", "unit": "USD", "scale": "1000", "definition": "Operating Cost", "basis": "", "excerpt": "Operating Cost: 1541000.0; consolidation=A1; entity=A4; period=2026-01-01~2026-06-30; raw cell retained", "source_url": "/Users/yuntzuyu/Downloads/e-loan/Quarter/E-Loan YQYQ-Nexstar Q2.xls", "reason": ""}</x:v>
      </x:c>
    </x:row>
    <x:row r="134" ht="70" customHeight="1">
      <x:c r="A134" s="29" t="str">
        <x:v>workbook:5e663fde59e2d8867e27f63101624f6f6c89aaa3e4d96a1e7435168a3f26a89f:I94</x:v>
      </x:c>
      <x:c r="B134" s="29" t="str">
        <x:v>fact</x:v>
      </x:c>
      <x:c r="C134" s="29" t="str">
        <x:v>workbook:5e663fde59e2d8867e27f63101624f6f6c89aaa3e4d96a1e7435168a3f26a89f</x:v>
      </x:c>
      <x:c r="D134" s="29" t="str">
        <x:v>5e663fde59e2d8867e27f63101624f6f6c89aaa3e4d96a1e7435168a3f26a89f</x:v>
      </x:c>
      <x:c r="E134" s="29" t="str">
        <x:v>2026-10-24</x:v>
      </x:c>
      <x:c r="F134" s="29" t="str">
        <x:v>/Users/yuntzuyu/Downloads/e-loan/Quarter/E-Loan YQYQ-Nexstar Q2.xls#Report1!I94; label=A94; dates=I6,I76; unit=O4</x:v>
      </x:c>
      <x:c r="G134" s="29" t="str">
        <x:v>{"value": "1354000.0", "unit": "USD", "scale": "1000", "definition": "Gross Profit", "basis": "", "excerpt": "Gross Profit: 1354000.0; consolidation=A1; entity=A4; period=2025-01-01~2025-06-30; raw cell retained", "source_url": "/Users/yuntzuyu/Downloads/e-loan/Quarter/E-Loan YQYQ-Nexstar Q2.xls", "reason": ""}</x:v>
      </x:c>
    </x:row>
    <x:row r="135" ht="70" customHeight="1">
      <x:c r="A135" s="29" t="str">
        <x:v>workbook:5e663fde59e2d8867e27f63101624f6f6c89aaa3e4d96a1e7435168a3f26a89f:R94</x:v>
      </x:c>
      <x:c r="B135" s="29" t="str">
        <x:v>fact</x:v>
      </x:c>
      <x:c r="C135" s="29" t="str">
        <x:v>workbook:5e663fde59e2d8867e27f63101624f6f6c89aaa3e4d96a1e7435168a3f26a89f</x:v>
      </x:c>
      <x:c r="D135" s="29" t="str">
        <x:v>5e663fde59e2d8867e27f63101624f6f6c89aaa3e4d96a1e7435168a3f26a89f</x:v>
      </x:c>
      <x:c r="E135" s="29" t="str">
        <x:v>2026-10-24</x:v>
      </x:c>
      <x:c r="F135" s="29" t="str">
        <x:v>/Users/yuntzuyu/Downloads/e-loan/Quarter/E-Loan YQYQ-Nexstar Q2.xls#Report1!R94; label=A94; dates=R6,R76; unit=O4</x:v>
      </x:c>
      <x:c r="G135" s="29" t="str">
        <x:v>{"value": "1848000.0", "unit": "USD", "scale": "1000", "definition": "Gross Profit", "basis": "", "excerpt": "Gross Profit: 1848000.0; consolidation=A1; entity=A4; period=2026-01-01~2026-06-30; raw cell retained", "source_url": "/Users/yuntzuyu/Downloads/e-loan/Quarter/E-Loan YQYQ-Nexstar Q2.xls", "reason": ""}</x:v>
      </x:c>
    </x:row>
    <x:row r="136" ht="70" customHeight="1">
      <x:c r="A136" s="29" t="str">
        <x:v>workbook:5e663fde59e2d8867e27f63101624f6f6c89aaa3e4d96a1e7435168a3f26a89f:I96</x:v>
      </x:c>
      <x:c r="B136" s="29" t="str">
        <x:v>fact</x:v>
      </x:c>
      <x:c r="C136" s="29" t="str">
        <x:v>workbook:5e663fde59e2d8867e27f63101624f6f6c89aaa3e4d96a1e7435168a3f26a89f</x:v>
      </x:c>
      <x:c r="D136" s="29" t="str">
        <x:v>5e663fde59e2d8867e27f63101624f6f6c89aaa3e4d96a1e7435168a3f26a89f</x:v>
      </x:c>
      <x:c r="E136" s="29" t="str">
        <x:v>2026-10-24</x:v>
      </x:c>
      <x:c r="F136" s="29" t="str">
        <x:v>/Users/yuntzuyu/Downloads/e-loan/Quarter/E-Loan YQYQ-Nexstar Q2.xls#Report1!I96; label=A96; dates=I6,I76; unit=O4</x:v>
      </x:c>
      <x:c r="G136" s="29" t="str">
        <x:v>{"value": "922000.0", "unit": "USD", "scale": "1000", "definition": "Operating Expense", "basis": "", "excerpt": "Operating Expense: 922000.0; consolidation=A1; entity=A4; period=2025-01-01~2025-06-30; raw cell retained", "source_url": "/Users/yuntzuyu/Downloads/e-loan/Quarter/E-Loan YQYQ-Nexstar Q2.xls", "reason": ""}</x:v>
      </x:c>
    </x:row>
    <x:row r="137" ht="70" customHeight="1">
      <x:c r="A137" s="29" t="str">
        <x:v>workbook:5e663fde59e2d8867e27f63101624f6f6c89aaa3e4d96a1e7435168a3f26a89f:R96</x:v>
      </x:c>
      <x:c r="B137" s="29" t="str">
        <x:v>fact</x:v>
      </x:c>
      <x:c r="C137" s="29" t="str">
        <x:v>workbook:5e663fde59e2d8867e27f63101624f6f6c89aaa3e4d96a1e7435168a3f26a89f</x:v>
      </x:c>
      <x:c r="D137" s="29" t="str">
        <x:v>5e663fde59e2d8867e27f63101624f6f6c89aaa3e4d96a1e7435168a3f26a89f</x:v>
      </x:c>
      <x:c r="E137" s="29" t="str">
        <x:v>2026-10-24</x:v>
      </x:c>
      <x:c r="F137" s="29" t="str">
        <x:v>/Users/yuntzuyu/Downloads/e-loan/Quarter/E-Loan YQYQ-Nexstar Q2.xls#Report1!R96; label=A96; dates=R6,R76; unit=O4</x:v>
      </x:c>
      <x:c r="G137" s="29" t="str">
        <x:v>{"value": "1221000.0", "unit": "USD", "scale": "1000", "definition": "Operating Expense", "basis": "", "excerpt": "Operating Expense: 1221000.0; consolidation=A1; entity=A4; period=2026-01-01~2026-06-30; raw cell retained", "source_url": "/Users/yuntzuyu/Downloads/e-loan/Quarter/E-Loan YQYQ-Nexstar Q2.xls", "reason": ""}</x:v>
      </x:c>
    </x:row>
    <x:row r="138" ht="70" customHeight="1">
      <x:c r="A138" s="29" t="str">
        <x:v>workbook:5e663fde59e2d8867e27f63101624f6f6c89aaa3e4d96a1e7435168a3f26a89f:I97</x:v>
      </x:c>
      <x:c r="B138" s="29" t="str">
        <x:v>fact</x:v>
      </x:c>
      <x:c r="C138" s="29" t="str">
        <x:v>workbook:5e663fde59e2d8867e27f63101624f6f6c89aaa3e4d96a1e7435168a3f26a89f</x:v>
      </x:c>
      <x:c r="D138" s="29" t="str">
        <x:v>5e663fde59e2d8867e27f63101624f6f6c89aaa3e4d96a1e7435168a3f26a89f</x:v>
      </x:c>
      <x:c r="E138" s="29" t="str">
        <x:v>2026-10-24</x:v>
      </x:c>
      <x:c r="F138" s="29" t="str">
        <x:v>/Users/yuntzuyu/Downloads/e-loan/Quarter/E-Loan YQYQ-Nexstar Q2.xls#Report1!I97; label=A97; dates=I6,I76; unit=O4</x:v>
      </x:c>
      <x:c r="G138" s="29" t="str">
        <x:v>{"value": "432000.0", "unit": "USD", "scale": "1000", "definition": "Operating Profit", "basis": "", "excerpt": "Operating Profit: 432000.0; consolidation=A1; entity=A4; period=2025-01-01~2025-06-30; raw cell retained", "source_url": "/Users/yuntzuyu/Downloads/e-loan/Quarter/E-Loan YQYQ-Nexstar Q2.xls", "reason": ""}</x:v>
      </x:c>
    </x:row>
    <x:row r="139" ht="70" customHeight="1">
      <x:c r="A139" s="29" t="str">
        <x:v>workbook:5e663fde59e2d8867e27f63101624f6f6c89aaa3e4d96a1e7435168a3f26a89f:R97</x:v>
      </x:c>
      <x:c r="B139" s="29" t="str">
        <x:v>fact</x:v>
      </x:c>
      <x:c r="C139" s="29" t="str">
        <x:v>workbook:5e663fde59e2d8867e27f63101624f6f6c89aaa3e4d96a1e7435168a3f26a89f</x:v>
      </x:c>
      <x:c r="D139" s="29" t="str">
        <x:v>5e663fde59e2d8867e27f63101624f6f6c89aaa3e4d96a1e7435168a3f26a89f</x:v>
      </x:c>
      <x:c r="E139" s="29" t="str">
        <x:v>2026-10-24</x:v>
      </x:c>
      <x:c r="F139" s="29" t="str">
        <x:v>/Users/yuntzuyu/Downloads/e-loan/Quarter/E-Loan YQYQ-Nexstar Q2.xls#Report1!R97; label=A97; dates=R6,R76; unit=O4</x:v>
      </x:c>
      <x:c r="G139" s="29" t="str">
        <x:v>{"value": "627000.0", "unit": "USD", "scale": "1000", "definition": "Operating Profit", "basis": "", "excerpt": "Operating Profit: 627000.0; consolidation=A1; entity=A4; period=2026-01-01~2026-06-30; raw cell retained", "source_url": "/Users/yuntzuyu/Downloads/e-loan/Quarter/E-Loan YQYQ-Nexstar Q2.xls", "reason": ""}</x:v>
      </x:c>
    </x:row>
    <x:row r="140" ht="70" customHeight="1">
      <x:c r="A140" s="29" t="str">
        <x:v>workbook:5e663fde59e2d8867e27f63101624f6f6c89aaa3e4d96a1e7435168a3f26a89f:I106</x:v>
      </x:c>
      <x:c r="B140" s="29" t="str">
        <x:v>fact</x:v>
      </x:c>
      <x:c r="C140" s="29" t="str">
        <x:v>workbook:5e663fde59e2d8867e27f63101624f6f6c89aaa3e4d96a1e7435168a3f26a89f</x:v>
      </x:c>
      <x:c r="D140" s="29" t="str">
        <x:v>5e663fde59e2d8867e27f63101624f6f6c89aaa3e4d96a1e7435168a3f26a89f</x:v>
      </x:c>
      <x:c r="E140" s="29" t="str">
        <x:v>2026-10-24</x:v>
      </x:c>
      <x:c r="F140" s="29" t="str">
        <x:v>/Users/yuntzuyu/Downloads/e-loan/Quarter/E-Loan YQYQ-Nexstar Q2.xls#Report1!I106; label=A106; dates=I6,I76; unit=O4</x:v>
      </x:c>
      <x:c r="G140" s="29" t="str">
        <x:v>{"value": "194000.0", "unit": "USD", "scale": "1000", "definition": "Interest Expense", "basis": "", "excerpt": "Interest Expense: 194000.0; consolidation=A1; entity=A4; period=2025-01-01~2025-06-30; raw cell retained", "source_url": "/Users/yuntzuyu/Downloads/e-loan/Quarter/E-Loan YQYQ-Nexstar Q2.xls", "reason": ""}</x:v>
      </x:c>
    </x:row>
    <x:row r="141" ht="70" customHeight="1">
      <x:c r="A141" s="29" t="str">
        <x:v>workbook:5e663fde59e2d8867e27f63101624f6f6c89aaa3e4d96a1e7435168a3f26a89f:R106</x:v>
      </x:c>
      <x:c r="B141" s="29" t="str">
        <x:v>fact</x:v>
      </x:c>
      <x:c r="C141" s="29" t="str">
        <x:v>workbook:5e663fde59e2d8867e27f63101624f6f6c89aaa3e4d96a1e7435168a3f26a89f</x:v>
      </x:c>
      <x:c r="D141" s="29" t="str">
        <x:v>5e663fde59e2d8867e27f63101624f6f6c89aaa3e4d96a1e7435168a3f26a89f</x:v>
      </x:c>
      <x:c r="E141" s="29" t="str">
        <x:v>2026-10-24</x:v>
      </x:c>
      <x:c r="F141" s="29" t="str">
        <x:v>/Users/yuntzuyu/Downloads/e-loan/Quarter/E-Loan YQYQ-Nexstar Q2.xls#Report1!R106; label=A106; dates=R6,R76; unit=O4</x:v>
      </x:c>
      <x:c r="G141" s="29" t="str">
        <x:v>{"value": "309000.0", "unit": "USD", "scale": "1000", "definition": "Interest Expense", "basis": "", "excerpt": "Interest Expense: 309000.0; consolidation=A1; entity=A4; period=2026-01-01~2026-06-30; raw cell retained", "source_url": "/Users/yuntzuyu/Downloads/e-loan/Quarter/E-Loan YQYQ-Nexstar Q2.xls", "reason": ""}</x:v>
      </x:c>
    </x:row>
    <x:row r="142" ht="70" customHeight="1">
      <x:c r="A142" s="29" t="str">
        <x:v>workbook:5e663fde59e2d8867e27f63101624f6f6c89aaa3e4d96a1e7435168a3f26a89f:I111</x:v>
      </x:c>
      <x:c r="B142" s="29" t="str">
        <x:v>fact</x:v>
      </x:c>
      <x:c r="C142" s="29" t="str">
        <x:v>workbook:5e663fde59e2d8867e27f63101624f6f6c89aaa3e4d96a1e7435168a3f26a89f</x:v>
      </x:c>
      <x:c r="D142" s="29" t="str">
        <x:v>5e663fde59e2d8867e27f63101624f6f6c89aaa3e4d96a1e7435168a3f26a89f</x:v>
      </x:c>
      <x:c r="E142" s="29" t="str">
        <x:v>2026-10-24</x:v>
      </x:c>
      <x:c r="F142" s="29" t="str">
        <x:v>/Users/yuntzuyu/Downloads/e-loan/Quarter/E-Loan YQYQ-Nexstar Q2.xls#Report1!I111; label=A111; dates=I6,I76; unit=O4</x:v>
      </x:c>
      <x:c r="G142" s="29" t="str">
        <x:v>{"value": "268000.0", "unit": "USD", "scale": "1000", "definition": "Pre-tax Profit (Loss)", "basis": "", "excerpt": "Pre-tax Profit (Loss): 268000.0; consolidation=A1; entity=A4; period=2025-01-01~2025-06-30; raw cell retained", "source_url": "/Users/yuntzuyu/Downloads/e-loan/Quarter/E-Loan YQYQ-Nexstar Q2.xls", "reason": ""}</x:v>
      </x:c>
    </x:row>
    <x:row r="143" ht="70" customHeight="1">
      <x:c r="A143" s="29" t="str">
        <x:v>workbook:5e663fde59e2d8867e27f63101624f6f6c89aaa3e4d96a1e7435168a3f26a89f:R111</x:v>
      </x:c>
      <x:c r="B143" s="29" t="str">
        <x:v>fact</x:v>
      </x:c>
      <x:c r="C143" s="29" t="str">
        <x:v>workbook:5e663fde59e2d8867e27f63101624f6f6c89aaa3e4d96a1e7435168a3f26a89f</x:v>
      </x:c>
      <x:c r="D143" s="29" t="str">
        <x:v>5e663fde59e2d8867e27f63101624f6f6c89aaa3e4d96a1e7435168a3f26a89f</x:v>
      </x:c>
      <x:c r="E143" s="29" t="str">
        <x:v>2026-10-24</x:v>
      </x:c>
      <x:c r="F143" s="29" t="str">
        <x:v>/Users/yuntzuyu/Downloads/e-loan/Quarter/E-Loan YQYQ-Nexstar Q2.xls#Report1!R111; label=A111; dates=R6,R76; unit=O4</x:v>
      </x:c>
      <x:c r="G143" s="29" t="str">
        <x:v>{"value": "330000.0", "unit": "USD", "scale": "1000", "definition": "Pre-tax Profit (Loss)", "basis": "", "excerpt": "Pre-tax Profit (Loss): 330000.0; consolidation=A1; entity=A4; period=2026-01-01~2026-06-30; raw cell retained", "source_url": "/Users/yuntzuyu/Downloads/e-loan/Quarter/E-Loan YQYQ-Nexstar Q2.xls", "reason": ""}</x:v>
      </x:c>
    </x:row>
    <x:row r="144" ht="70" customHeight="1">
      <x:c r="A144" s="29" t="str">
        <x:v>workbook:5e663fde59e2d8867e27f63101624f6f6c89aaa3e4d96a1e7435168a3f26a89f:I112</x:v>
      </x:c>
      <x:c r="B144" s="29" t="str">
        <x:v>fact</x:v>
      </x:c>
      <x:c r="C144" s="29" t="str">
        <x:v>workbook:5e663fde59e2d8867e27f63101624f6f6c89aaa3e4d96a1e7435168a3f26a89f</x:v>
      </x:c>
      <x:c r="D144" s="29" t="str">
        <x:v>5e663fde59e2d8867e27f63101624f6f6c89aaa3e4d96a1e7435168a3f26a89f</x:v>
      </x:c>
      <x:c r="E144" s="29" t="str">
        <x:v>2026-10-24</x:v>
      </x:c>
      <x:c r="F144" s="29" t="str">
        <x:v>/Users/yuntzuyu/Downloads/e-loan/Quarter/E-Loan YQYQ-Nexstar Q2.xls#Report1!I112; label=A112; dates=I6,I76; unit=O4</x:v>
      </x:c>
      <x:c r="G144" s="29" t="str">
        <x:v>{"value": "80000.0", "unit": "USD", "scale": "1000", "definition": "Income Tax Expense(Credit)", "basis": "", "excerpt": "Income Tax Expense(Credit): 80000.0; consolidation=A1; entity=A4; period=2025-01-01~2025-06-30; raw cell retained", "source_url": "/Users/yuntzuyu/Downloads/e-loan/Quarter/E-Loan YQYQ-Nexstar Q2.xls", "reason": ""}</x:v>
      </x:c>
    </x:row>
    <x:row r="145" ht="70" customHeight="1">
      <x:c r="A145" s="29" t="str">
        <x:v>workbook:5e663fde59e2d8867e27f63101624f6f6c89aaa3e4d96a1e7435168a3f26a89f:R112</x:v>
      </x:c>
      <x:c r="B145" s="29" t="str">
        <x:v>fact</x:v>
      </x:c>
      <x:c r="C145" s="29" t="str">
        <x:v>workbook:5e663fde59e2d8867e27f63101624f6f6c89aaa3e4d96a1e7435168a3f26a89f</x:v>
      </x:c>
      <x:c r="D145" s="29" t="str">
        <x:v>5e663fde59e2d8867e27f63101624f6f6c89aaa3e4d96a1e7435168a3f26a89f</x:v>
      </x:c>
      <x:c r="E145" s="29" t="str">
        <x:v>2026-10-24</x:v>
      </x:c>
      <x:c r="F145" s="29" t="str">
        <x:v>/Users/yuntzuyu/Downloads/e-loan/Quarter/E-Loan YQYQ-Nexstar Q2.xls#Report1!R112; label=A112; dates=R6,R76; unit=O4</x:v>
      </x:c>
      <x:c r="G145" s="29" t="str">
        <x:v>{"value": "57000.0", "unit": "USD", "scale": "1000", "definition": "Income Tax Expense(Credit)", "basis": "", "excerpt": "Income Tax Expense(Credit): 57000.0; consolidation=A1; entity=A4; period=2026-01-01~2026-06-30; raw cell retained", "source_url": "/Users/yuntzuyu/Downloads/e-loan/Quarter/E-Loan YQYQ-Nexstar Q2.xls", "reason": ""}</x:v>
      </x:c>
    </x:row>
    <x:row r="146" ht="70" customHeight="1">
      <x:c r="A146" s="29" t="str">
        <x:v>workbook:5e663fde59e2d8867e27f63101624f6f6c89aaa3e4d96a1e7435168a3f26a89f:I117</x:v>
      </x:c>
      <x:c r="B146" s="29" t="str">
        <x:v>fact</x:v>
      </x:c>
      <x:c r="C146" s="29" t="str">
        <x:v>workbook:5e663fde59e2d8867e27f63101624f6f6c89aaa3e4d96a1e7435168a3f26a89f</x:v>
      </x:c>
      <x:c r="D146" s="29" t="str">
        <x:v>5e663fde59e2d8867e27f63101624f6f6c89aaa3e4d96a1e7435168a3f26a89f</x:v>
      </x:c>
      <x:c r="E146" s="29" t="str">
        <x:v>2026-10-24</x:v>
      </x:c>
      <x:c r="F146" s="29" t="str">
        <x:v>/Users/yuntzuyu/Downloads/e-loan/Quarter/E-Loan YQYQ-Nexstar Q2.xls#Report1!I117; label=A117; dates=I6,I76; unit=O4</x:v>
      </x:c>
      <x:c r="G146" s="29" t="str">
        <x:v>{"value": "188000.0", "unit": "USD", "scale": "1000", "definition": "After-tax Net Profit (Loss)", "basis": "", "excerpt": "After-tax Net Profit (Loss): 188000.0; consolidation=A1; entity=A4; period=2025-01-01~2025-06-30; raw cell retained", "source_url": "/Users/yuntzuyu/Downloads/e-loan/Quarter/E-Loan YQYQ-Nexstar Q2.xls", "reason": ""}</x:v>
      </x:c>
    </x:row>
    <x:row r="147" ht="70" customHeight="1">
      <x:c r="A147" s="29" t="str">
        <x:v>workbook:5e663fde59e2d8867e27f63101624f6f6c89aaa3e4d96a1e7435168a3f26a89f:R117</x:v>
      </x:c>
      <x:c r="B147" s="29" t="str">
        <x:v>fact</x:v>
      </x:c>
      <x:c r="C147" s="29" t="str">
        <x:v>workbook:5e663fde59e2d8867e27f63101624f6f6c89aaa3e4d96a1e7435168a3f26a89f</x:v>
      </x:c>
      <x:c r="D147" s="29" t="str">
        <x:v>5e663fde59e2d8867e27f63101624f6f6c89aaa3e4d96a1e7435168a3f26a89f</x:v>
      </x:c>
      <x:c r="E147" s="29" t="str">
        <x:v>2026-10-24</x:v>
      </x:c>
      <x:c r="F147" s="29" t="str">
        <x:v>/Users/yuntzuyu/Downloads/e-loan/Quarter/E-Loan YQYQ-Nexstar Q2.xls#Report1!R117; label=A117; dates=R6,R76; unit=O4</x:v>
      </x:c>
      <x:c r="G147" s="29" t="str">
        <x:v>{"value": "273000.0", "unit": "USD", "scale": "1000", "definition": "After-tax Net Profit (Loss)", "basis": "", "excerpt": "After-tax Net Profit (Loss): 273000.0; consolidation=A1; entity=A4; period=2026-01-01~2026-06-30; raw cell retained", "source_url": "/Users/yuntzuyu/Downloads/e-loan/Quarter/E-Loan YQYQ-Nexstar Q2.xls", "reason": ""}</x:v>
      </x:c>
    </x:row>
    <x:row r="148" ht="70" customHeight="1">
      <x:c r="A148" s="29" t="str">
        <x:v>workbook:5e663fde59e2d8867e27f63101624f6f6c89aaa3e4d96a1e7435168a3f26a89f:D10</x:v>
      </x:c>
      <x:c r="B148" s="29" t="str">
        <x:v>fact</x:v>
      </x:c>
      <x:c r="C148" s="29" t="str">
        <x:v>workbook:5e663fde59e2d8867e27f63101624f6f6c89aaa3e4d96a1e7435168a3f26a89f</x:v>
      </x:c>
      <x:c r="D148" s="29" t="str">
        <x:v>5e663fde59e2d8867e27f63101624f6f6c89aaa3e4d96a1e7435168a3f26a89f</x:v>
      </x:c>
      <x:c r="E148" s="29" t="str">
        <x:v>2026-10-24</x:v>
      </x:c>
      <x:c r="F148" s="29" t="str">
        <x:v>/Users/yuntzuyu/Downloads/e-loan/Quarter/E-Loan YQYQ-Nexstar Q2.xls#Report1!D10; label=A10; dates=D6,D76; unit=O4</x:v>
      </x:c>
      <x:c r="G148" s="29" t="str">
        <x:v>{"value": "1297000.0", "unit": "USD", "scale": "1000", "definition": "Current Assets", "basis": "", "excerpt": "Current Assets: 1297000.0; consolidation=A1; entity=A4; period=2024-01-01~2024-12-31; raw cell retained", "source_url": "/Users/yuntzuyu/Downloads/e-loan/Quarter/E-Loan YQYQ-Nexstar Q2.xls", "reason": ""}</x:v>
      </x:c>
    </x:row>
    <x:row r="149" ht="70" customHeight="1">
      <x:c r="A149" s="29" t="str">
        <x:v>workbook:5e663fde59e2d8867e27f63101624f6f6c89aaa3e4d96a1e7435168a3f26a89f:D40</x:v>
      </x:c>
      <x:c r="B149" s="29" t="str">
        <x:v>fact</x:v>
      </x:c>
      <x:c r="C149" s="29" t="str">
        <x:v>workbook:5e663fde59e2d8867e27f63101624f6f6c89aaa3e4d96a1e7435168a3f26a89f</x:v>
      </x:c>
      <x:c r="D149" s="29" t="str">
        <x:v>5e663fde59e2d8867e27f63101624f6f6c89aaa3e4d96a1e7435168a3f26a89f</x:v>
      </x:c>
      <x:c r="E149" s="29" t="str">
        <x:v>2026-10-24</x:v>
      </x:c>
      <x:c r="F149" s="29" t="str">
        <x:v>/Users/yuntzuyu/Downloads/e-loan/Quarter/E-Loan YQYQ-Nexstar Q2.xls#Report1!D40; label=A40; dates=D6,D76; unit=O4</x:v>
      </x:c>
      <x:c r="G149" s="29" t="str">
        <x:v>{"value": "783000.0", "unit": "USD", "scale": "1000", "definition": "Current Liabilities", "basis": "", "excerpt": "Current Liabilities: 783000.0; consolidation=A1; entity=A4; period=2024-01-01~2024-12-31; raw cell retained", "source_url": "/Users/yuntzuyu/Downloads/e-loan/Quarter/E-Loan YQYQ-Nexstar Q2.xls", "reason": ""}</x:v>
      </x:c>
    </x:row>
    <x:row r="150" ht="70" customHeight="1">
      <x:c r="A150" s="29" t="str">
        <x:v>workbook:5e663fde59e2d8867e27f63101624f6f6c89aaa3e4d96a1e7435168a3f26a89f:D62</x:v>
      </x:c>
      <x:c r="B150" s="29" t="str">
        <x:v>fact</x:v>
      </x:c>
      <x:c r="C150" s="29" t="str">
        <x:v>workbook:5e663fde59e2d8867e27f63101624f6f6c89aaa3e4d96a1e7435168a3f26a89f</x:v>
      </x:c>
      <x:c r="D150" s="29" t="str">
        <x:v>5e663fde59e2d8867e27f63101624f6f6c89aaa3e4d96a1e7435168a3f26a89f</x:v>
      </x:c>
      <x:c r="E150" s="29" t="str">
        <x:v>2026-10-24</x:v>
      </x:c>
      <x:c r="F150" s="29" t="str">
        <x:v>/Users/yuntzuyu/Downloads/e-loan/Quarter/E-Loan YQYQ-Nexstar Q2.xls#Report1!D62; label=A62; dates=D6,D76; unit=O4</x:v>
      </x:c>
      <x:c r="G150" s="29" t="str">
        <x:v>{"value": "9200000.0", "unit": "USD", "scale": "1000", "definition": "Total Liabilities", "basis": "", "excerpt": "Total Liabilities: 9200000.0; consolidation=A1; entity=A4; period=2024-01-01~2024-12-31; raw cell retained", "source_url": "/Users/yuntzuyu/Downloads/e-loan/Quarter/E-Loan YQYQ-Nexstar Q2.xls", "reason": ""}</x:v>
      </x:c>
    </x:row>
    <x:row r="151" ht="70" customHeight="1">
      <x:c r="A151" s="29" t="str">
        <x:v>workbook:5e663fde59e2d8867e27f63101624f6f6c89aaa3e4d96a1e7435168a3f26a89f:D70</x:v>
      </x:c>
      <x:c r="B151" s="29" t="str">
        <x:v>fact</x:v>
      </x:c>
      <x:c r="C151" s="29" t="str">
        <x:v>workbook:5e663fde59e2d8867e27f63101624f6f6c89aaa3e4d96a1e7435168a3f26a89f</x:v>
      </x:c>
      <x:c r="D151" s="29" t="str">
        <x:v>5e663fde59e2d8867e27f63101624f6f6c89aaa3e4d96a1e7435168a3f26a89f</x:v>
      </x:c>
      <x:c r="E151" s="29" t="str">
        <x:v>2026-10-24</x:v>
      </x:c>
      <x:c r="F151" s="29" t="str">
        <x:v>/Users/yuntzuyu/Downloads/e-loan/Quarter/E-Loan YQYQ-Nexstar Q2.xls#Report1!D70; label=A70; dates=D6,D76; unit=O4</x:v>
      </x:c>
      <x:c r="G151" s="29" t="str">
        <x:v>{"value": "2268000.0", "unit": "USD", "scale": "1000", "definition": "Total Net Worth", "basis": "", "excerpt": "Total Net Worth: 2268000.0; consolidation=A1; entity=A4; period=2024-01-01~2024-12-31; raw cell retained", "source_url": "/Users/yuntzuyu/Downloads/e-loan/Quarter/E-Loan YQYQ-Nexstar Q2.xls", "reason": ""}</x:v>
      </x:c>
    </x:row>
    <x:row r="152" ht="70" customHeight="1">
      <x:c r="A152" s="29" t="str">
        <x:v>workbook:5e663fde59e2d8867e27f63101624f6f6c89aaa3e4d96a1e7435168a3f26a89f:D120</x:v>
      </x:c>
      <x:c r="B152" s="29" t="str">
        <x:v>review</x:v>
      </x:c>
      <x:c r="C152" s="29" t="str">
        <x:v>workbook:5e663fde59e2d8867e27f63101624f6f6c89aaa3e4d96a1e7435168a3f26a89f</x:v>
      </x:c>
      <x:c r="D152" s="29" t="str">
        <x:v>5e663fde59e2d8867e27f63101624f6f6c89aaa3e4d96a1e7435168a3f26a89f</x:v>
      </x:c>
      <x:c r="E152" s="29" t="str">
        <x:v>2026-10-24</x:v>
      </x:c>
      <x:c r="F152" s="29" t="str">
        <x:v>/Users/yuntzuyu/Downloads/e-loan/Quarter/E-Loan YQYQ-Nexstar Q2.xls#Report1!D120; label=A120; dates=D6,D76; unit=O4</x:v>
      </x:c>
      <x:c r="G152" s="29" t="str">
        <x:v>{"value": null, "unit": "USD", "scale": "1000", "definition": "Capitalized Interest", "basis": "", "excerpt": "Capitalized Interest: ''; consolidation=A1; entity=A4; period=2024-01-01~2024-12-31; raw cell retained", "source_url": "/Users/yuntzuyu/Downloads/e-loan/Quarter/E-Loan YQYQ-Nexstar Q2.xls", "reason": "原始儲存格空白／無可用數值"}</x:v>
      </x:c>
    </x:row>
    <x:row r="153" ht="70" customHeight="1">
      <x:c r="A153" s="29" t="str">
        <x:v>workbook:5e663fde59e2d8867e27f63101624f6f6c89aaa3e4d96a1e7435168a3f26a89f:D121</x:v>
      </x:c>
      <x:c r="B153" s="29" t="str">
        <x:v>fact</x:v>
      </x:c>
      <x:c r="C153" s="29" t="str">
        <x:v>workbook:5e663fde59e2d8867e27f63101624f6f6c89aaa3e4d96a1e7435168a3f26a89f</x:v>
      </x:c>
      <x:c r="D153" s="29" t="str">
        <x:v>5e663fde59e2d8867e27f63101624f6f6c89aaa3e4d96a1e7435168a3f26a89f</x:v>
      </x:c>
      <x:c r="E153" s="29" t="str">
        <x:v>2026-10-24</x:v>
      </x:c>
      <x:c r="F153" s="29" t="str">
        <x:v>/Users/yuntzuyu/Downloads/e-loan/Quarter/E-Loan YQYQ-Nexstar Q2.xls#Report1!D121; label=A121; dates=D6,D76; unit=O4</x:v>
      </x:c>
      <x:c r="G153" s="29" t="str">
        <x:v>{"value": "808000.0", "unit": "USD", "scale": "1000", "definition": "Depreciation &amp; Amortization", "basis": "", "excerpt": "Depreciation &amp; Amortization: 808000.0; consolidation=A1; entity=A4; period=2024-01-01~2024-12-31; raw cell retained", "source_url": "/Users/yuntzuyu/Downloads/e-loan/Quarter/E-Loan YQYQ-Nexstar Q2.xls", "reason": ""}</x:v>
      </x:c>
    </x:row>
    <x:row r="154" ht="70" customHeight="1">
      <x:c r="A154" s="29" t="str">
        <x:v>workbook:5e663fde59e2d8867e27f63101624f6f6c89aaa3e4d96a1e7435168a3f26a89f:I10</x:v>
      </x:c>
      <x:c r="B154" s="29" t="str">
        <x:v>fact</x:v>
      </x:c>
      <x:c r="C154" s="29" t="str">
        <x:v>workbook:5e663fde59e2d8867e27f63101624f6f6c89aaa3e4d96a1e7435168a3f26a89f</x:v>
      </x:c>
      <x:c r="D154" s="29" t="str">
        <x:v>5e663fde59e2d8867e27f63101624f6f6c89aaa3e4d96a1e7435168a3f26a89f</x:v>
      </x:c>
      <x:c r="E154" s="29" t="str">
        <x:v>2026-10-24</x:v>
      </x:c>
      <x:c r="F154" s="29" t="str">
        <x:v>/Users/yuntzuyu/Downloads/e-loan/Quarter/E-Loan YQYQ-Nexstar Q2.xls#Report1!I10; label=A10; dates=I6,I76; unit=O4</x:v>
      </x:c>
      <x:c r="G154" s="29" t="str">
        <x:v>{"value": "1390000.0", "unit": "USD", "scale": "1000", "definition": "Current Assets", "basis": "", "excerpt": "Current Assets: 1390000.0; consolidation=A1; entity=A4; period=2025-01-01~2025-06-30; raw cell retained", "source_url": "/Users/yuntzuyu/Downloads/e-loan/Quarter/E-Loan YQYQ-Nexstar Q2.xls", "reason": ""}</x:v>
      </x:c>
    </x:row>
    <x:row r="155" ht="70" customHeight="1">
      <x:c r="A155" s="29" t="str">
        <x:v>workbook:5e663fde59e2d8867e27f63101624f6f6c89aaa3e4d96a1e7435168a3f26a89f:I40</x:v>
      </x:c>
      <x:c r="B155" s="29" t="str">
        <x:v>fact</x:v>
      </x:c>
      <x:c r="C155" s="29" t="str">
        <x:v>workbook:5e663fde59e2d8867e27f63101624f6f6c89aaa3e4d96a1e7435168a3f26a89f</x:v>
      </x:c>
      <x:c r="D155" s="29" t="str">
        <x:v>5e663fde59e2d8867e27f63101624f6f6c89aaa3e4d96a1e7435168a3f26a89f</x:v>
      </x:c>
      <x:c r="E155" s="29" t="str">
        <x:v>2026-10-24</x:v>
      </x:c>
      <x:c r="F155" s="29" t="str">
        <x:v>/Users/yuntzuyu/Downloads/e-loan/Quarter/E-Loan YQYQ-Nexstar Q2.xls#Report1!I40; label=A40; dates=I6,I76; unit=O4</x:v>
      </x:c>
      <x:c r="G155" s="29" t="str">
        <x:v>{"value": "823000.0", "unit": "USD", "scale": "1000", "definition": "Current Liabilities", "basis": "", "excerpt": "Current Liabilities: 823000.0; consolidation=A1; entity=A4; period=2025-01-01~2025-06-30; raw cell retained", "source_url": "/Users/yuntzuyu/Downloads/e-loan/Quarter/E-Loan YQYQ-Nexstar Q2.xls", "reason": ""}</x:v>
      </x:c>
    </x:row>
    <x:row r="156" ht="70" customHeight="1">
      <x:c r="A156" s="29" t="str">
        <x:v>workbook:5e663fde59e2d8867e27f63101624f6f6c89aaa3e4d96a1e7435168a3f26a89f:I62</x:v>
      </x:c>
      <x:c r="B156" s="29" t="str">
        <x:v>fact</x:v>
      </x:c>
      <x:c r="C156" s="29" t="str">
        <x:v>workbook:5e663fde59e2d8867e27f63101624f6f6c89aaa3e4d96a1e7435168a3f26a89f</x:v>
      </x:c>
      <x:c r="D156" s="29" t="str">
        <x:v>5e663fde59e2d8867e27f63101624f6f6c89aaa3e4d96a1e7435168a3f26a89f</x:v>
      </x:c>
      <x:c r="E156" s="29" t="str">
        <x:v>2026-10-24</x:v>
      </x:c>
      <x:c r="F156" s="29" t="str">
        <x:v>/Users/yuntzuyu/Downloads/e-loan/Quarter/E-Loan YQYQ-Nexstar Q2.xls#Report1!I62; label=A62; dates=I6,I76; unit=O4</x:v>
      </x:c>
      <x:c r="G156" s="29" t="str">
        <x:v>{"value": "9072000.0", "unit": "USD", "scale": "1000", "definition": "Total Liabilities", "basis": "", "excerpt": "Total Liabilities: 9072000.0; consolidation=A1; entity=A4; period=2025-01-01~2025-06-30; raw cell retained", "source_url": "/Users/yuntzuyu/Downloads/e-loan/Quarter/E-Loan YQYQ-Nexstar Q2.xls", "reason": ""}</x:v>
      </x:c>
    </x:row>
    <x:row r="157" ht="70" customHeight="1">
      <x:c r="A157" s="29" t="str">
        <x:v>workbook:5e663fde59e2d8867e27f63101624f6f6c89aaa3e4d96a1e7435168a3f26a89f:I70</x:v>
      </x:c>
      <x:c r="B157" s="29" t="str">
        <x:v>fact</x:v>
      </x:c>
      <x:c r="C157" s="29" t="str">
        <x:v>workbook:5e663fde59e2d8867e27f63101624f6f6c89aaa3e4d96a1e7435168a3f26a89f</x:v>
      </x:c>
      <x:c r="D157" s="29" t="str">
        <x:v>5e663fde59e2d8867e27f63101624f6f6c89aaa3e4d96a1e7435168a3f26a89f</x:v>
      </x:c>
      <x:c r="E157" s="29" t="str">
        <x:v>2026-10-24</x:v>
      </x:c>
      <x:c r="F157" s="29" t="str">
        <x:v>/Users/yuntzuyu/Downloads/e-loan/Quarter/E-Loan YQYQ-Nexstar Q2.xls#Report1!I70; label=A70; dates=I6,I76; unit=O4</x:v>
      </x:c>
      <x:c r="G157" s="29" t="str">
        <x:v>{"value": "2256000.0", "unit": "USD", "scale": "1000", "definition": "Total Net Worth", "basis": "", "excerpt": "Total Net Worth: 2256000.0; consolidation=A1; entity=A4; period=2025-01-01~2025-06-30; raw cell retained", "source_url": "/Users/yuntzuyu/Downloads/e-loan/Quarter/E-Loan YQYQ-Nexstar Q2.xls", "reason": ""}</x:v>
      </x:c>
    </x:row>
    <x:row r="158" ht="70" customHeight="1">
      <x:c r="A158" s="29" t="str">
        <x:v>workbook:5e663fde59e2d8867e27f63101624f6f6c89aaa3e4d96a1e7435168a3f26a89f:I120</x:v>
      </x:c>
      <x:c r="B158" s="29" t="str">
        <x:v>review</x:v>
      </x:c>
      <x:c r="C158" s="29" t="str">
        <x:v>workbook:5e663fde59e2d8867e27f63101624f6f6c89aaa3e4d96a1e7435168a3f26a89f</x:v>
      </x:c>
      <x:c r="D158" s="29" t="str">
        <x:v>5e663fde59e2d8867e27f63101624f6f6c89aaa3e4d96a1e7435168a3f26a89f</x:v>
      </x:c>
      <x:c r="E158" s="29" t="str">
        <x:v>2026-10-24</x:v>
      </x:c>
      <x:c r="F158" s="29" t="str">
        <x:v>/Users/yuntzuyu/Downloads/e-loan/Quarter/E-Loan YQYQ-Nexstar Q2.xls#Report1!I120; label=A120; dates=I6,I76; unit=O4</x:v>
      </x:c>
      <x:c r="G158" s="29" t="str">
        <x:v>{"value": null, "unit": "USD", "scale": "1000", "definition": "Capitalized Interest", "basis": "", "excerpt": "Capitalized Interest: ''; consolidation=A1; entity=A4; period=2025-01-01~2025-06-30; raw cell retained", "source_url": "/Users/yuntzuyu/Downloads/e-loan/Quarter/E-Loan YQYQ-Nexstar Q2.xls", "reason": "原始儲存格空白／無可用數值"}</x:v>
      </x:c>
    </x:row>
    <x:row r="159" ht="70" customHeight="1">
      <x:c r="A159" s="29" t="str">
        <x:v>workbook:5e663fde59e2d8867e27f63101624f6f6c89aaa3e4d96a1e7435168a3f26a89f:I121</x:v>
      </x:c>
      <x:c r="B159" s="29" t="str">
        <x:v>fact</x:v>
      </x:c>
      <x:c r="C159" s="29" t="str">
        <x:v>workbook:5e663fde59e2d8867e27f63101624f6f6c89aaa3e4d96a1e7435168a3f26a89f</x:v>
      </x:c>
      <x:c r="D159" s="29" t="str">
        <x:v>5e663fde59e2d8867e27f63101624f6f6c89aaa3e4d96a1e7435168a3f26a89f</x:v>
      </x:c>
      <x:c r="E159" s="29" t="str">
        <x:v>2026-10-24</x:v>
      </x:c>
      <x:c r="F159" s="29" t="str">
        <x:v>/Users/yuntzuyu/Downloads/e-loan/Quarter/E-Loan YQYQ-Nexstar Q2.xls#Report1!I121; label=A121; dates=I6,I76; unit=O4</x:v>
      </x:c>
      <x:c r="G159" s="29" t="str">
        <x:v>{"value": "402000.0", "unit": "USD", "scale": "1000", "definition": "Depreciation &amp; Amortization", "basis": "", "excerpt": "Depreciation &amp; Amortization: 402000.0; consolidation=A1; entity=A4; period=2025-01-01~2025-06-30; raw cell retained", "source_url": "/Users/yuntzuyu/Downloads/e-loan/Quarter/E-Loan YQYQ-Nexstar Q2.xls", "reason": ""}</x:v>
      </x:c>
    </x:row>
    <x:row r="160" ht="70" customHeight="1">
      <x:c r="A160" s="29" t="str">
        <x:v>workbook:5e663fde59e2d8867e27f63101624f6f6c89aaa3e4d96a1e7435168a3f26a89f:M10</x:v>
      </x:c>
      <x:c r="B160" s="29" t="str">
        <x:v>fact</x:v>
      </x:c>
      <x:c r="C160" s="29" t="str">
        <x:v>workbook:5e663fde59e2d8867e27f63101624f6f6c89aaa3e4d96a1e7435168a3f26a89f</x:v>
      </x:c>
      <x:c r="D160" s="29" t="str">
        <x:v>5e663fde59e2d8867e27f63101624f6f6c89aaa3e4d96a1e7435168a3f26a89f</x:v>
      </x:c>
      <x:c r="E160" s="29" t="str">
        <x:v>2026-10-24</x:v>
      </x:c>
      <x:c r="F160" s="29" t="str">
        <x:v>/Users/yuntzuyu/Downloads/e-loan/Quarter/E-Loan YQYQ-Nexstar Q2.xls#Report1!M10; label=A10; dates=M6,M76; unit=O4</x:v>
      </x:c>
      <x:c r="G160" s="29" t="str">
        <x:v>{"value": "1473000.0", "unit": "USD", "scale": "1000", "definition": "Current Assets", "basis": "", "excerpt": "Current Assets: 1473000.0; consolidation=A1; entity=A4; period=2025-01-01~2025-12-31; raw cell retained", "source_url": "/Users/yuntzuyu/Downloads/e-loan/Quarter/E-Loan YQYQ-Nexstar Q2.xls", "reason": ""}</x:v>
      </x:c>
    </x:row>
    <x:row r="161" ht="70" customHeight="1">
      <x:c r="A161" s="29" t="str">
        <x:v>workbook:5e663fde59e2d8867e27f63101624f6f6c89aaa3e4d96a1e7435168a3f26a89f:M40</x:v>
      </x:c>
      <x:c r="B161" s="29" t="str">
        <x:v>fact</x:v>
      </x:c>
      <x:c r="C161" s="29" t="str">
        <x:v>workbook:5e663fde59e2d8867e27f63101624f6f6c89aaa3e4d96a1e7435168a3f26a89f</x:v>
      </x:c>
      <x:c r="D161" s="29" t="str">
        <x:v>5e663fde59e2d8867e27f63101624f6f6c89aaa3e4d96a1e7435168a3f26a89f</x:v>
      </x:c>
      <x:c r="E161" s="29" t="str">
        <x:v>2026-10-24</x:v>
      </x:c>
      <x:c r="F161" s="29" t="str">
        <x:v>/Users/yuntzuyu/Downloads/e-loan/Quarter/E-Loan YQYQ-Nexstar Q2.xls#Report1!M40; label=A40; dates=M6,M76; unit=O4</x:v>
      </x:c>
      <x:c r="G161" s="29" t="str">
        <x:v>{"value": "711000.0", "unit": "USD", "scale": "1000", "definition": "Current Liabilities", "basis": "", "excerpt": "Current Liabilities: 711000.0; consolidation=A1; entity=A4; period=2025-01-01~2025-12-31; raw cell retained", "source_url": "/Users/yuntzuyu/Downloads/e-loan/Quarter/E-Loan YQYQ-Nexstar Q2.xls", "reason": ""}</x:v>
      </x:c>
    </x:row>
    <x:row r="162" ht="70" customHeight="1">
      <x:c r="A162" s="29" t="str">
        <x:v>workbook:5e663fde59e2d8867e27f63101624f6f6c89aaa3e4d96a1e7435168a3f26a89f:M62</x:v>
      </x:c>
      <x:c r="B162" s="29" t="str">
        <x:v>fact</x:v>
      </x:c>
      <x:c r="C162" s="29" t="str">
        <x:v>workbook:5e663fde59e2d8867e27f63101624f6f6c89aaa3e4d96a1e7435168a3f26a89f</x:v>
      </x:c>
      <x:c r="D162" s="29" t="str">
        <x:v>5e663fde59e2d8867e27f63101624f6f6c89aaa3e4d96a1e7435168a3f26a89f</x:v>
      </x:c>
      <x:c r="E162" s="29" t="str">
        <x:v>2026-10-24</x:v>
      </x:c>
      <x:c r="F162" s="29" t="str">
        <x:v>/Users/yuntzuyu/Downloads/e-loan/Quarter/E-Loan YQYQ-Nexstar Q2.xls#Report1!M62; label=A62; dates=M6,M76; unit=O4</x:v>
      </x:c>
      <x:c r="G162" s="29" t="str">
        <x:v>{"value": "8784000.0", "unit": "USD", "scale": "1000", "definition": "Total Liabilities", "basis": "", "excerpt": "Total Liabilities: 8784000.0; consolidation=A1; entity=A4; period=2025-01-01~2025-12-31; raw cell retained", "source_url": "/Users/yuntzuyu/Downloads/e-loan/Quarter/E-Loan YQYQ-Nexstar Q2.xls", "reason": ""}</x:v>
      </x:c>
    </x:row>
    <x:row r="163" ht="70" customHeight="1">
      <x:c r="A163" s="29" t="str">
        <x:v>workbook:5e663fde59e2d8867e27f63101624f6f6c89aaa3e4d96a1e7435168a3f26a89f:M70</x:v>
      </x:c>
      <x:c r="B163" s="29" t="str">
        <x:v>fact</x:v>
      </x:c>
      <x:c r="C163" s="29" t="str">
        <x:v>workbook:5e663fde59e2d8867e27f63101624f6f6c89aaa3e4d96a1e7435168a3f26a89f</x:v>
      </x:c>
      <x:c r="D163" s="29" t="str">
        <x:v>5e663fde59e2d8867e27f63101624f6f6c89aaa3e4d96a1e7435168a3f26a89f</x:v>
      </x:c>
      <x:c r="E163" s="29" t="str">
        <x:v>2026-10-24</x:v>
      </x:c>
      <x:c r="F163" s="29" t="str">
        <x:v>/Users/yuntzuyu/Downloads/e-loan/Quarter/E-Loan YQYQ-Nexstar Q2.xls#Report1!M70; label=A70; dates=M6,M76; unit=O4</x:v>
      </x:c>
      <x:c r="G163" s="29" t="str">
        <x:v>{"value": "2062000.0", "unit": "USD", "scale": "1000", "definition": "Total Net Worth", "basis": "", "excerpt": "Total Net Worth: 2062000.0; consolidation=A1; entity=A4; period=2025-01-01~2025-12-31; raw cell retained", "source_url": "/Users/yuntzuyu/Downloads/e-loan/Quarter/E-Loan YQYQ-Nexstar Q2.xls", "reason": ""}</x:v>
      </x:c>
    </x:row>
    <x:row r="164" ht="70" customHeight="1">
      <x:c r="A164" s="29" t="str">
        <x:v>workbook:5e663fde59e2d8867e27f63101624f6f6c89aaa3e4d96a1e7435168a3f26a89f:M120</x:v>
      </x:c>
      <x:c r="B164" s="29" t="str">
        <x:v>review</x:v>
      </x:c>
      <x:c r="C164" s="29" t="str">
        <x:v>workbook:5e663fde59e2d8867e27f63101624f6f6c89aaa3e4d96a1e7435168a3f26a89f</x:v>
      </x:c>
      <x:c r="D164" s="29" t="str">
        <x:v>5e663fde59e2d8867e27f63101624f6f6c89aaa3e4d96a1e7435168a3f26a89f</x:v>
      </x:c>
      <x:c r="E164" s="29" t="str">
        <x:v>2026-10-24</x:v>
      </x:c>
      <x:c r="F164" s="29" t="str">
        <x:v>/Users/yuntzuyu/Downloads/e-loan/Quarter/E-Loan YQYQ-Nexstar Q2.xls#Report1!M120; label=A120; dates=M6,M76; unit=O4</x:v>
      </x:c>
      <x:c r="G164" s="29" t="str">
        <x:v>{"value": null, "unit": "USD", "scale": "1000", "definition": "Capitalized Interest", "basis": "", "excerpt": "Capitalized Interest: ''; consolidation=A1; entity=A4; period=2025-01-01~2025-12-31; raw cell retained", "source_url": "/Users/yuntzuyu/Downloads/e-loan/Quarter/E-Loan YQYQ-Nexstar Q2.xls", "reason": "原始儲存格空白／無可用數值"}</x:v>
      </x:c>
    </x:row>
    <x:row r="165" ht="70" customHeight="1">
      <x:c r="A165" s="29" t="str">
        <x:v>workbook:5e663fde59e2d8867e27f63101624f6f6c89aaa3e4d96a1e7435168a3f26a89f:M121</x:v>
      </x:c>
      <x:c r="B165" s="29" t="str">
        <x:v>fact</x:v>
      </x:c>
      <x:c r="C165" s="29" t="str">
        <x:v>workbook:5e663fde59e2d8867e27f63101624f6f6c89aaa3e4d96a1e7435168a3f26a89f</x:v>
      </x:c>
      <x:c r="D165" s="29" t="str">
        <x:v>5e663fde59e2d8867e27f63101624f6f6c89aaa3e4d96a1e7435168a3f26a89f</x:v>
      </x:c>
      <x:c r="E165" s="29" t="str">
        <x:v>2026-10-24</x:v>
      </x:c>
      <x:c r="F165" s="29" t="str">
        <x:v>/Users/yuntzuyu/Downloads/e-loan/Quarter/E-Loan YQYQ-Nexstar Q2.xls#Report1!M121; label=A121; dates=M6,M76; unit=O4</x:v>
      </x:c>
      <x:c r="G165" s="29" t="str">
        <x:v>{"value": "785000.0", "unit": "USD", "scale": "1000", "definition": "Depreciation &amp; Amortization", "basis": "", "excerpt": "Depreciation &amp; Amortization: 785000.0; consolidation=A1; entity=A4; period=2025-01-01~2025-12-31; raw cell retained", "source_url": "/Users/yuntzuyu/Downloads/e-loan/Quarter/E-Loan YQYQ-Nexstar Q2.xls", "reason": ""}</x:v>
      </x:c>
    </x:row>
    <x:row r="166" ht="70" customHeight="1">
      <x:c r="A166" s="29" t="str">
        <x:v>workbook:5e663fde59e2d8867e27f63101624f6f6c89aaa3e4d96a1e7435168a3f26a89f:R10</x:v>
      </x:c>
      <x:c r="B166" s="29" t="str">
        <x:v>fact</x:v>
      </x:c>
      <x:c r="C166" s="29" t="str">
        <x:v>workbook:5e663fde59e2d8867e27f63101624f6f6c89aaa3e4d96a1e7435168a3f26a89f</x:v>
      </x:c>
      <x:c r="D166" s="29" t="str">
        <x:v>5e663fde59e2d8867e27f63101624f6f6c89aaa3e4d96a1e7435168a3f26a89f</x:v>
      </x:c>
      <x:c r="E166" s="29" t="str">
        <x:v>2026-10-24</x:v>
      </x:c>
      <x:c r="F166" s="29" t="str">
        <x:v>/Users/yuntzuyu/Downloads/e-loan/Quarter/E-Loan YQYQ-Nexstar Q2.xls#Report1!R10; label=A10; dates=R6,R76; unit=O4</x:v>
      </x:c>
      <x:c r="G166" s="29" t="str">
        <x:v>{"value": "2005000.0", "unit": "USD", "scale": "1000", "definition": "Current Assets", "basis": "", "excerpt": "Current Assets: 2005000.0; consolidation=A1; entity=A4; period=2026-01-01~2026-06-30; raw cell retained", "source_url": "/Users/yuntzuyu/Downloads/e-loan/Quarter/E-Loan YQYQ-Nexstar Q2.xls", "reason": ""}</x:v>
      </x:c>
    </x:row>
    <x:row r="167" ht="70" customHeight="1">
      <x:c r="A167" s="29" t="str">
        <x:v>workbook:5e663fde59e2d8867e27f63101624f6f6c89aaa3e4d96a1e7435168a3f26a89f:R40</x:v>
      </x:c>
      <x:c r="B167" s="29" t="str">
        <x:v>fact</x:v>
      </x:c>
      <x:c r="C167" s="29" t="str">
        <x:v>workbook:5e663fde59e2d8867e27f63101624f6f6c89aaa3e4d96a1e7435168a3f26a89f</x:v>
      </x:c>
      <x:c r="D167" s="29" t="str">
        <x:v>5e663fde59e2d8867e27f63101624f6f6c89aaa3e4d96a1e7435168a3f26a89f</x:v>
      </x:c>
      <x:c r="E167" s="29" t="str">
        <x:v>2026-10-24</x:v>
      </x:c>
      <x:c r="F167" s="29" t="str">
        <x:v>/Users/yuntzuyu/Downloads/e-loan/Quarter/E-Loan YQYQ-Nexstar Q2.xls#Report1!R40; label=A40; dates=R6,R76; unit=O4</x:v>
      </x:c>
      <x:c r="G167" s="29" t="str">
        <x:v>{"value": "1284000.0", "unit": "USD", "scale": "1000", "definition": "Current Liabilities", "basis": "", "excerpt": "Current Liabilities: 1284000.0; consolidation=A1; entity=A4; period=2026-01-01~2026-06-30; raw cell retained", "source_url": "/Users/yuntzuyu/Downloads/e-loan/Quarter/E-Loan YQYQ-Nexstar Q2.xls", "reason": ""}</x:v>
      </x:c>
    </x:row>
    <x:row r="168" ht="70" customHeight="1">
      <x:c r="A168" s="29" t="str">
        <x:v>workbook:5e663fde59e2d8867e27f63101624f6f6c89aaa3e4d96a1e7435168a3f26a89f:R62</x:v>
      </x:c>
      <x:c r="B168" s="29" t="str">
        <x:v>fact</x:v>
      </x:c>
      <x:c r="C168" s="29" t="str">
        <x:v>workbook:5e663fde59e2d8867e27f63101624f6f6c89aaa3e4d96a1e7435168a3f26a89f</x:v>
      </x:c>
      <x:c r="D168" s="29" t="str">
        <x:v>5e663fde59e2d8867e27f63101624f6f6c89aaa3e4d96a1e7435168a3f26a89f</x:v>
      </x:c>
      <x:c r="E168" s="29" t="str">
        <x:v>2026-10-24</x:v>
      </x:c>
      <x:c r="F168" s="29" t="str">
        <x:v>/Users/yuntzuyu/Downloads/e-loan/Quarter/E-Loan YQYQ-Nexstar Q2.xls#Report1!R62; label=A62; dates=R6,R76; unit=O4</x:v>
      </x:c>
      <x:c r="G168" s="29" t="str">
        <x:v>{"value": "15451000.0", "unit": "USD", "scale": "1000", "definition": "Total Liabilities", "basis": "", "excerpt": "Total Liabilities: 15451000.0; consolidation=A1; entity=A4; period=2026-01-01~2026-06-30; raw cell retained", "source_url": "/Users/yuntzuyu/Downloads/e-loan/Quarter/E-Loan YQYQ-Nexstar Q2.xls", "reason": ""}</x:v>
      </x:c>
    </x:row>
    <x:row r="169" ht="70" customHeight="1">
      <x:c r="A169" s="29" t="str">
        <x:v>workbook:5e663fde59e2d8867e27f63101624f6f6c89aaa3e4d96a1e7435168a3f26a89f:R70</x:v>
      </x:c>
      <x:c r="B169" s="29" t="str">
        <x:v>fact</x:v>
      </x:c>
      <x:c r="C169" s="29" t="str">
        <x:v>workbook:5e663fde59e2d8867e27f63101624f6f6c89aaa3e4d96a1e7435168a3f26a89f</x:v>
      </x:c>
      <x:c r="D169" s="29" t="str">
        <x:v>5e663fde59e2d8867e27f63101624f6f6c89aaa3e4d96a1e7435168a3f26a89f</x:v>
      </x:c>
      <x:c r="E169" s="29" t="str">
        <x:v>2026-10-24</x:v>
      </x:c>
      <x:c r="F169" s="29" t="str">
        <x:v>/Users/yuntzuyu/Downloads/e-loan/Quarter/E-Loan YQYQ-Nexstar Q2.xls#Report1!R70; label=A70; dates=R6,R76; unit=O4</x:v>
      </x:c>
      <x:c r="G169" s="29" t="str">
        <x:v>{"value": "2264000.0", "unit": "USD", "scale": "1000", "definition": "Total Net Worth", "basis": "", "excerpt": "Total Net Worth: 2264000.0; consolidation=A1; entity=A4; period=2026-01-01~2026-06-30; raw cell retained", "source_url": "/Users/yuntzuyu/Downloads/e-loan/Quarter/E-Loan YQYQ-Nexstar Q2.xls", "reason": ""}</x:v>
      </x:c>
    </x:row>
    <x:row r="170" ht="70" customHeight="1">
      <x:c r="A170" s="29" t="str">
        <x:v>workbook:5e663fde59e2d8867e27f63101624f6f6c89aaa3e4d96a1e7435168a3f26a89f:R120</x:v>
      </x:c>
      <x:c r="B170" s="29" t="str">
        <x:v>review</x:v>
      </x:c>
      <x:c r="C170" s="29" t="str">
        <x:v>workbook:5e663fde59e2d8867e27f63101624f6f6c89aaa3e4d96a1e7435168a3f26a89f</x:v>
      </x:c>
      <x:c r="D170" s="29" t="str">
        <x:v>5e663fde59e2d8867e27f63101624f6f6c89aaa3e4d96a1e7435168a3f26a89f</x:v>
      </x:c>
      <x:c r="E170" s="29" t="str">
        <x:v>2026-10-24</x:v>
      </x:c>
      <x:c r="F170" s="29" t="str">
        <x:v>/Users/yuntzuyu/Downloads/e-loan/Quarter/E-Loan YQYQ-Nexstar Q2.xls#Report1!R120; label=A120; dates=R6,R76; unit=O4</x:v>
      </x:c>
      <x:c r="G170" s="29" t="str">
        <x:v>{"value": null, "unit": "USD", "scale": "1000", "definition": "Capitalized Interest", "basis": "", "excerpt": "Capitalized Interest: ''; consolidation=A1; entity=A4; period=2026-01-01~2026-06-30; raw cell retained", "source_url": "/Users/yuntzuyu/Downloads/e-loan/Quarter/E-Loan YQYQ-Nexstar Q2.xls", "reason": "原始儲存格空白／無可用數值"}</x:v>
      </x:c>
    </x:row>
    <x:row r="171" ht="70" customHeight="1">
      <x:c r="A171" s="29" t="str">
        <x:v>workbook:5e663fde59e2d8867e27f63101624f6f6c89aaa3e4d96a1e7435168a3f26a89f:R121</x:v>
      </x:c>
      <x:c r="B171" s="29" t="str">
        <x:v>fact</x:v>
      </x:c>
      <x:c r="C171" s="29" t="str">
        <x:v>workbook:5e663fde59e2d8867e27f63101624f6f6c89aaa3e4d96a1e7435168a3f26a89f</x:v>
      </x:c>
      <x:c r="D171" s="29" t="str">
        <x:v>5e663fde59e2d8867e27f63101624f6f6c89aaa3e4d96a1e7435168a3f26a89f</x:v>
      </x:c>
      <x:c r="E171" s="29" t="str">
        <x:v>2026-10-24</x:v>
      </x:c>
      <x:c r="F171" s="29" t="str">
        <x:v>/Users/yuntzuyu/Downloads/e-loan/Quarter/E-Loan YQYQ-Nexstar Q2.xls#Report1!R121; label=A121; dates=R6,R76; unit=O4</x:v>
      </x:c>
      <x:c r="G171" s="29" t="str">
        <x:v>{"value": "438000.0", "unit": "USD", "scale": "1000", "definition": "Depreciation &amp; Amortization", "basis": "", "excerpt": "Depreciation &amp; Amortization: 438000.0; consolidation=A1; entity=A4; period=2026-01-01~2026-06-30; raw cell retained", "source_url": "/Users/yuntzuyu/Downloads/e-loan/Quarter/E-Loan YQYQ-Nexstar Q2.xls", "reason": ""}</x:v>
      </x:c>
    </x:row>
    <x:row r="172" ht="32" customHeight="1">
      <x:c r="A172" s="29" t="str">
        <x:v>approval:formal-review-integration:DEC-11</x:v>
      </x:c>
      <x:c r="B172" s="29" t="str">
        <x:v>definition</x:v>
      </x:c>
      <x:c r="C172" s="29" t="str">
        <x:v>user-approved-integration</x:v>
      </x:c>
      <x:c r="D172" s="29" t="str">
        <x:v>formal-review-integration-v1</x:v>
      </x:c>
      <x:c r="E172" s="29" t="str">
        <x:v>2026-10-27</x:v>
      </x:c>
      <x:c r="F172" s="29" t="str">
        <x:v>references/loan-review-integration.md</x:v>
      </x:c>
      <x:c r="G172" s="29" t="str">
        <x:v>Dashboard authorized; display canonical formal facts and acceptance state</x:v>
      </x:c>
    </x:row>
  </x:sheetData>
  <x:mergeCells>
    <x:mergeCell ref="A1:G1"/>
    <x:mergeCell ref="A2:G2"/>
  </x:mergeCells>
  <x:pageMargins left="0.7" right="0.7" top="0.75" bottom="0.75" header="0.3" footer="0.3"/>
</x:worksheet>
</file>