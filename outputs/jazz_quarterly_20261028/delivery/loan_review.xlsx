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d7dde3b7fe4e95" /></Relationships>
</file>

<file path=xl/workbook.xml><?xml version="1.0" encoding="utf-8"?>
<x:workbook xmlns:x="http://schemas.openxmlformats.org/spreadsheetml/2006/main">
  <x:sheets>
    <x:sheet xmlns:r="http://schemas.openxmlformats.org/officeDocument/2006/relationships" name="Review" sheetId="1" r:id="Rff5c017498ef4911"/>
    <x:sheet xmlns:r="http://schemas.openxmlformats.org/officeDocument/2006/relationships" name="Sources" sheetId="2" r:id="Rd209509d52074bd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00"/>
    <x:numFmt numFmtId="201" formatCode="0.00%;(0.00%);0.00%"/>
    <x:numFmt numFmtId="202" formatCode="0.00&quot;x&quot;;(0.00&quot;x&quot;);0.00&quot;x&quot;"/>
  </x:numFmts>
  <x:fonts count="17">
    <x:font>
      <x:sz val="11"/>
      <x:name val="Carlito"/>
    </x:font>
    <x:font>
      <x:b/>
      <x:sz val="11"/>
      <x:color rgb="FFFFFFFF"/>
      <x:name val="Carlito"/>
    </x:font>
    <x:font>
      <x:sz val="11"/>
      <x:color rgb="FF0000FF"/>
      <x:name val="Carlito"/>
    </x:font>
    <x:font>
      <x:b/>
      <x:sz val="14"/>
      <x:name val="Carlito"/>
    </x:font>
    <x:font>
      <x:sz val="11"/>
      <x:color rgb="FF9A3412"/>
      <x:name val="Carlito"/>
    </x:font>
    <x:font>
      <x:b/>
      <x:sz val="11"/>
      <x:name val="Carlito"/>
    </x:font>
    <x:font>
      <x:b/>
      <x:sz val="14"/>
      <x:name val="Arial"/>
    </x:font>
    <x:font>
      <x:sz val="11"/>
      <x:name val="Arial"/>
    </x:font>
    <x:font>
      <x:sz val="11"/>
      <x:color rgb="FF9A3412"/>
      <x:name val="Arial"/>
    </x:font>
    <x:font>
      <x:b/>
      <x:sz val="11"/>
      <x:name val="Arial"/>
    </x:font>
    <x:font>
      <x:b/>
      <x:sz val="11"/>
      <x:color rgb="FFFFFFFF"/>
      <x:name val="Arial"/>
    </x:font>
    <x:font>
      <x:sz val="10"/>
      <x:color rgb="FF9A3412"/>
      <x:name val="Arial"/>
    </x:font>
    <x:font>
      <x:sz val="10"/>
      <x:name val="Arial"/>
    </x:font>
    <x:font>
      <x:b/>
      <x:sz val="10"/>
      <x:name val="Arial"/>
    </x:font>
    <x:font>
      <x:b/>
      <x:sz val="10"/>
      <x:color rgb="FFFFFFFF"/>
      <x:name val="Arial"/>
    </x:font>
    <x:font>
      <x:sz val="11"/>
      <x:color rgb="FF0000FF"/>
      <x:name val="Arial"/>
    </x:font>
    <x:font>
      <x:sz val="10"/>
      <x:color rgb="FF0000FF"/>
      <x:name val="Arial"/>
    </x:font>
  </x:fonts>
  <x:fills count="3">
    <x:fill>
      <x:patternFill patternType="none"/>
    </x:fill>
    <x:fill>
      <x:patternFill patternType="gray125"/>
    </x:fill>
    <x:fill>
      <x:patternFill patternType="solid">
        <x:fgColor rgb="FF243746"/>
      </x:patternFill>
    </x:fill>
  </x:fills>
  <x:borders count="1">
    <x:border>
      <x:left/>
      <x:right/>
      <x:top/>
      <x:bottom/>
      <x:diagonal/>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200" fontId="0" fillId="0" borderId="0" xfId="0" applyNumberFormat="1" applyFont="1" applyFill="1" applyBorder="1"/>
    <x:xf numFmtId="0" fontId="2"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5" fillId="0"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applyAlignment="1">
      <x:alignment wrapText="1"/>
    </x:xf>
    <x:xf numFmtId="0" fontId="9" fillId="0" borderId="0" xfId="0" applyNumberFormat="1" applyFont="1" applyFill="1" applyBorder="1"/>
    <x:xf numFmtId="0" fontId="10" fillId="2" borderId="0" xfId="0" applyNumberFormat="1" applyFont="1" applyFill="1" applyBorder="1" applyAlignment="1">
      <x:alignment wrapText="1"/>
    </x:xf>
    <x:xf numFmtId="0" fontId="7" fillId="0" borderId="0" xfId="0" applyNumberFormat="1" applyFont="1" applyFill="1" applyBorder="1" applyAlignment="1">
      <x:alignment wrapText="1"/>
    </x:xf>
    <x:xf numFmtId="200" fontId="7" fillId="0" borderId="0" xfId="0" applyNumberFormat="1" applyFont="1" applyFill="1" applyBorder="1" applyAlignment="1">
      <x:alignment wrapText="1"/>
    </x:xf>
    <x:xf numFmtId="201" fontId="7" fillId="0" borderId="0" xfId="0" applyNumberFormat="1" applyFont="1" applyFill="1" applyBorder="1" applyAlignment="1">
      <x:alignment wrapText="1"/>
    </x:xf>
    <x:xf numFmtId="202" fontId="7" fillId="0" borderId="0" xfId="0" applyNumberFormat="1" applyFont="1" applyFill="1" applyBorder="1" applyAlignment="1">
      <x:alignment wrapText="1"/>
    </x:xf>
    <x:xf numFmtId="0" fontId="11" fillId="0" borderId="0" xfId="0" applyNumberFormat="1" applyFont="1" applyFill="1" applyBorder="1" applyAlignment="1">
      <x:alignment wrapText="1"/>
    </x:xf>
    <x:xf numFmtId="0" fontId="12" fillId="0" borderId="0" xfId="0" applyNumberFormat="1" applyFont="1" applyFill="1" applyBorder="1"/>
    <x:xf numFmtId="0" fontId="13" fillId="0" borderId="0" xfId="0" applyNumberFormat="1" applyFont="1" applyFill="1" applyBorder="1"/>
    <x:xf numFmtId="0" fontId="14" fillId="2" borderId="0" xfId="0" applyNumberFormat="1" applyFont="1" applyFill="1" applyBorder="1" applyAlignment="1">
      <x:alignment wrapText="1"/>
    </x:xf>
    <x:xf numFmtId="0" fontId="12" fillId="0" borderId="0" xfId="0" applyNumberFormat="1" applyFont="1" applyFill="1" applyBorder="1" applyAlignment="1">
      <x:alignment wrapText="1"/>
    </x:xf>
    <x:xf numFmtId="200" fontId="12" fillId="0" borderId="0" xfId="0" applyNumberFormat="1" applyFont="1" applyFill="1" applyBorder="1" applyAlignment="1">
      <x:alignment wrapText="1"/>
    </x:xf>
    <x:xf numFmtId="201" fontId="12" fillId="0" borderId="0" xfId="0" applyNumberFormat="1" applyFont="1" applyFill="1" applyBorder="1" applyAlignment="1">
      <x:alignment wrapText="1"/>
    </x:xf>
    <x:xf numFmtId="202" fontId="12" fillId="0" borderId="0" xfId="0" applyNumberFormat="1" applyFont="1" applyFill="1" applyBorder="1" applyAlignment="1">
      <x:alignment wrapText="1"/>
    </x:xf>
    <x:xf numFmtId="200" fontId="7" fillId="0" borderId="0" xfId="0" applyNumberFormat="1" applyFont="1" applyFill="1" applyBorder="1"/>
    <x:xf numFmtId="0" fontId="15"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x:xf numFmtId="0" fontId="10" fillId="2" borderId="0" xfId="0" applyNumberFormat="1" applyFont="1" applyFill="1" applyBorder="1"/>
    <x:xf numFmtId="200" fontId="12" fillId="0" borderId="0" xfId="0" applyNumberFormat="1" applyFont="1" applyFill="1" applyBorder="1"/>
    <x:xf numFmtId="0" fontId="16" fillId="0" borderId="0" xfId="0" applyNumberFormat="1" applyFont="1" applyFill="1" applyBorder="1"/>
    <x:xf numFmtId="201" fontId="12" fillId="0" borderId="0" xfId="0" applyNumberFormat="1" applyFont="1" applyFill="1" applyBorder="1"/>
    <x:xf numFmtId="202" fontId="12" fillId="0" borderId="0" xfId="0" applyNumberFormat="1" applyFont="1" applyFill="1" applyBorder="1"/>
    <x:xf numFmtId="0" fontId="14"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5d68e9c2c44030" /><Relationship Type="http://schemas.openxmlformats.org/officeDocument/2006/relationships/theme" Target="/xl/theme/theme1.xml" Id="R856449d0f3ab41cb" /><Relationship Type="http://schemas.openxmlformats.org/officeDocument/2006/relationships/sharedStrings" Target="/xl/sharedStrings.xml" Id="Rbca775ae8b5e4503" /><Relationship Type="http://schemas.openxmlformats.org/officeDocument/2006/relationships/worksheet" Target="/xl/worksheets/sheet1.xml" Id="Rff5c017498ef4911" /><Relationship Type="http://schemas.openxmlformats.org/officeDocument/2006/relationships/worksheet" Target="/xl/worksheets/sheet2.xml" Id="Rd209509d52074b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x:c r="A1" s="16" t="str">
        <x:v>JAZZ · quarterly · USD / 1000000</x:v>
      </x:c>
      <x:c r="B1" s="17"/>
      <x:c r="C1" s="17"/>
      <x:c r="D1" s="17"/>
      <x:c r="E1" s="17"/>
      <x:c r="F1" s="17"/>
      <x:c r="G1" s="17"/>
    </x:row>
    <x:row r="2">
      <x:c r="A2" s="17"/>
      <x:c r="B2" s="17"/>
      <x:c r="C2" s="17"/>
      <x:c r="D2" s="17"/>
      <x:c r="E2" s="17"/>
      <x:c r="F2" s="17"/>
      <x:c r="G2" s="17"/>
    </x:row>
    <x:row r="3" ht="80" customHeight="1">
      <x:c r="A3" s="25" t="str">
        <x:v>待驗收覆核稿：Required report cells are unavailable or definitions unresolved; Required analytical coverage remains incomplete; Reconciliation is incomplete or contains unexplained differences</x:v>
      </x:c>
      <x:c r="B3" s="26"/>
      <x:c r="C3" s="26"/>
      <x:c r="D3" s="26"/>
      <x:c r="E3" s="26"/>
      <x:c r="F3" s="26"/>
      <x:c r="G3" s="26"/>
    </x:row>
    <x:row r="4">
      <x:c r="A4" s="26"/>
      <x:c r="B4" s="26"/>
      <x:c r="C4" s="26"/>
      <x:c r="D4" s="26"/>
      <x:c r="E4" s="26"/>
      <x:c r="F4" s="26"/>
      <x:c r="G4" s="26"/>
    </x:row>
    <x:row r="5">
      <x:c r="A5" s="27" t="str">
        <x:v>YTD (Quarterly) Income</x:v>
      </x:c>
      <x:c r="B5" s="26"/>
      <x:c r="C5" s="26"/>
      <x:c r="D5" s="26"/>
      <x:c r="E5" s="26"/>
      <x:c r="F5" s="26"/>
      <x:c r="G5" s="26"/>
    </x:row>
    <x:row r="6" ht="36" customHeight="1">
      <x:c r="A6" s="28" t="str">
        <x:v>科目</x:v>
      </x:c>
      <x:c r="B6" s="28" t="str">
        <x:v>FY2025 Q2 YTD</x:v>
      </x:c>
      <x:c r="C6" s="28" t="str">
        <x:v>營收占比</x:v>
      </x:c>
      <x:c r="D6" s="28" t="str">
        <x:v>FY2026 Q2 YTD</x:v>
      </x:c>
      <x:c r="E6" s="28" t="str">
        <x:v>營收占比</x:v>
      </x:c>
      <x:c r="F6" s="26"/>
      <x:c r="G6" s="26"/>
    </x:row>
    <x:row r="7" ht="30" customHeight="1">
      <x:c r="A7" s="29" t="str">
        <x:v>Revenues／營業收入</x:v>
      </x:c>
      <x:c r="B7" s="30" t="n">
        <x:f>'Sources'!B4</x:f>
        <x:v>1943.553</x:v>
      </x:c>
      <x:c r="C7" s="31" t="n">
        <x:f>'Sources'!B5</x:f>
        <x:v>1</x:v>
      </x:c>
      <x:c r="D7" s="30" t="n">
        <x:f>'Sources'!B6</x:f>
        <x:v>2277.2</x:v>
      </x:c>
      <x:c r="E7" s="31" t="n">
        <x:f>'Sources'!B7</x:f>
        <x:v>1</x:v>
      </x:c>
      <x:c r="F7" s="26"/>
      <x:c r="G7" s="26"/>
    </x:row>
    <x:row r="8" ht="30" customHeight="1">
      <x:c r="A8" s="29" t="str">
        <x:v>Cost of revenues／營業成本</x:v>
      </x:c>
      <x:c r="B8" s="30" t="n">
        <x:f>'Sources'!B8</x:f>
        <x:v>220.9</x:v>
      </x:c>
      <x:c r="C8" s="31" t="n">
        <x:f>'Sources'!B9</x:f>
        <x:v>0.11365782152583438</x:v>
      </x:c>
      <x:c r="D8" s="30" t="n">
        <x:f>'Sources'!B10</x:f>
        <x:v>250.5</x:v>
      </x:c>
      <x:c r="E8" s="31" t="n">
        <x:f>'Sources'!B11</x:f>
        <x:v>0.11000351308624627</x:v>
      </x:c>
      <x:c r="F8" s="26"/>
      <x:c r="G8" s="26"/>
    </x:row>
    <x:row r="9" ht="30" customHeight="1">
      <x:c r="A9" s="29" t="str">
        <x:v>Gross profit／毛利</x:v>
      </x:c>
      <x:c r="B9" s="30" t="n">
        <x:f>'Sources'!B12</x:f>
        <x:v>1722.653</x:v>
      </x:c>
      <x:c r="C9" s="31" t="n">
        <x:f>'Sources'!B13</x:f>
        <x:v>0.8863421784741655</x:v>
      </x:c>
      <x:c r="D9" s="30" t="n">
        <x:f>'Sources'!B14</x:f>
        <x:v>2026.7</x:v>
      </x:c>
      <x:c r="E9" s="31" t="n">
        <x:f>'Sources'!B15</x:f>
        <x:v>0.8899964869137538</x:v>
      </x:c>
      <x:c r="F9" s="26"/>
      <x:c r="G9" s="26"/>
    </x:row>
    <x:row r="10" ht="30" customHeight="1">
      <x:c r="A10" s="29" t="str">
        <x:v>Operating expense／營業費用</x:v>
      </x:c>
      <x:c r="B10" s="30" t="n">
        <x:f>'Sources'!B16</x:f>
        <x:v>2464.937</x:v>
      </x:c>
      <x:c r="C10" s="31" t="n">
        <x:f>'Sources'!B17</x:f>
        <x:v>1.2682633300969923</x:v>
      </x:c>
      <x:c r="D10" s="30" t="n">
        <x:f>'Sources'!B18</x:f>
        <x:v>1441.9</x:v>
      </x:c>
      <x:c r="E10" s="31" t="n">
        <x:f>'Sources'!B19</x:f>
        <x:v>0.6331898823116109</x:v>
      </x:c>
      <x:c r="F10" s="26"/>
      <x:c r="G10" s="26"/>
    </x:row>
    <x:row r="11" ht="30" customHeight="1">
      <x:c r="A11" s="29" t="str">
        <x:v>Operating income／營業利益</x:v>
      </x:c>
      <x:c r="B11" s="30" t="n">
        <x:f>'Sources'!B20</x:f>
        <x:v>-742.284</x:v>
      </x:c>
      <x:c r="C11" s="31" t="n">
        <x:f>'Sources'!B21</x:f>
        <x:v>-0.3819211516228268</x:v>
      </x:c>
      <x:c r="D11" s="30" t="n">
        <x:f>'Sources'!B22</x:f>
        <x:v>584.8</x:v>
      </x:c>
      <x:c r="E11" s="31" t="n">
        <x:f>'Sources'!B23</x:f>
        <x:v>0.256806604602143</x:v>
      </x:c>
      <x:c r="F11" s="26"/>
      <x:c r="G11" s="26"/>
    </x:row>
    <x:row r="12" ht="30" customHeight="1">
      <x:c r="A12" s="29" t="str">
        <x:v>Interest expense／利息費用</x:v>
      </x:c>
      <x:c r="B12" s="30" t="n">
        <x:f>'Sources'!B24</x:f>
        <x:v>147.869</x:v>
      </x:c>
      <x:c r="C12" s="31" t="n">
        <x:f>'Sources'!B25</x:f>
        <x:v>0.07608179452785696</x:v>
      </x:c>
      <x:c r="D12" s="30" t="n">
        <x:f>'Sources'!B26</x:f>
        <x:v>125.7</x:v>
      </x:c>
      <x:c r="E12" s="31" t="n">
        <x:f>'Sources'!B27</x:f>
        <x:v>0.05519936764447568</x:v>
      </x:c>
      <x:c r="F12" s="26"/>
      <x:c r="G12" s="26"/>
    </x:row>
    <x:row r="13" ht="30" customHeight="1">
      <x:c r="A13" s="29" t="str">
        <x:v>Income before taxes／稅前利益</x:v>
      </x:c>
      <x:c r="B13" s="30" t="n">
        <x:f>'Sources'!B28</x:f>
        <x:v>-845.365</x:v>
      </x:c>
      <x:c r="C13" s="31" t="n">
        <x:f>'Sources'!B29</x:f>
        <x:v>-0.4349585527124807</x:v>
      </x:c>
      <x:c r="D13" s="30" t="n">
        <x:f>'Sources'!B30</x:f>
        <x:v>510.2</x:v>
      </x:c>
      <x:c r="E13" s="31" t="n">
        <x:f>'Sources'!B31</x:f>
        <x:v>0.22404707535569998</x:v>
      </x:c>
      <x:c r="F13" s="26"/>
      <x:c r="G13" s="26"/>
    </x:row>
    <x:row r="14" ht="30" customHeight="1">
      <x:c r="A14" s="29" t="str">
        <x:v>Income tax expense／所得稅費用／利益</x:v>
      </x:c>
      <x:c r="B14" s="30" t="n">
        <x:f>'Sources'!B32</x:f>
        <x:v>-34.982</x:v>
      </x:c>
      <x:c r="C14" s="31" t="n">
        <x:f>'Sources'!B33</x:f>
        <x:v>-0.01799899462479284</x:v>
      </x:c>
      <x:c r="D14" s="30" t="n">
        <x:f>'Sources'!B34</x:f>
        <x:v>24.2</x:v>
      </x:c>
      <x:c r="E14" s="31" t="n">
        <x:f>'Sources'!B35</x:f>
        <x:v>0.010627085894958721</x:v>
      </x:c>
      <x:c r="F14" s="26"/>
      <x:c r="G14" s="26"/>
    </x:row>
    <x:row r="15" ht="30" customHeight="1">
      <x:c r="A15" s="29" t="str">
        <x:v>Net income／稅後淨利</x:v>
      </x:c>
      <x:c r="B15" s="30" t="n">
        <x:f>'Sources'!B36</x:f>
        <x:v>-811.011</x:v>
      </x:c>
      <x:c r="C15" s="31" t="n">
        <x:f>'Sources'!B37</x:f>
        <x:v>-0.41728267765273186</x:v>
      </x:c>
      <x:c r="D15" s="30" t="n">
        <x:f>'Sources'!B38</x:f>
        <x:v>485.9</x:v>
      </x:c>
      <x:c r="E15" s="31" t="n">
        <x:f>'Sources'!B39</x:f>
        <x:v>0.2133760758826629</x:v>
      </x:c>
      <x:c r="F15" s="26"/>
      <x:c r="G15" s="26"/>
    </x:row>
    <x:row r="16">
      <x:c r="A16" s="26"/>
      <x:c r="B16" s="26"/>
      <x:c r="C16" s="26"/>
      <x:c r="D16" s="26"/>
      <x:c r="E16" s="26"/>
      <x:c r="F16" s="26"/>
      <x:c r="G16" s="26"/>
    </x:row>
    <x:row r="17" ht="36" customHeight="1">
      <x:c r="A17" s="29" t="str">
        <x:v>Revenues 由 FY2025 Q2 YTD 的 1,943.55 上升至 FY2026 Q2 YTD 的 2,277.20。依CF-09計算成長率為 17.17%。管理階層指出，Xywav 六個月銷量增加12%、Epidiolex/Epidyolex增加13%，以及Zepzelca等產品成長帶動營收；Xyrem銷量下降21%，部分抵銷成長。</x:v>
      </x:c>
      <x:c r="B17" s="29"/>
      <x:c r="C17" s="29"/>
      <x:c r="D17" s="29"/>
      <x:c r="E17" s="29"/>
      <x:c r="F17" s="29"/>
      <x:c r="G17" s="29"/>
    </x:row>
    <x:row r="18" ht="36" customHeight="1">
      <x:c r="A18" s="29" t="str">
        <x:v>Gross profit margin 由 FY2025 Q2 YTD 的 88.63% 上升至 FY2026 Q2 YTD 的 89.00%。變動 0.37 個百分點。管理階層指出，成本增加主要來自權利金及存貨提列，收購存貨公允價值加價費用減少USD12.8m部分抵銷；本表產品成本不含取得技術攤銷。2025成本採2026比較欄的百萬精度，相關毛利及費用為近似值。</x:v>
      </x:c>
      <x:c r="B18" s="29"/>
      <x:c r="C18" s="29"/>
      <x:c r="D18" s="29"/>
      <x:c r="E18" s="29"/>
      <x:c r="F18" s="29"/>
      <x:c r="G18" s="29"/>
    </x:row>
    <x:row r="19" ht="48" customHeight="1">
      <x:c r="A19" s="29" t="str">
        <x:v>Operating profit margin 由 FY2025 Q2 YTD 的 -38.19% 上升至 FY2026 Q2 YTD 的 25.68%。變動 63.87 個百分點。去年同期包含Chimerix/Modeyso acquired IPR&amp;D及Xyrem訴訟和解USD172m；本期acquired IPR&amp;D包含AbCellera USD56m及Werewolf USD21m。另本期認列PRV出售稅前利益USD122.8m，故獲利回升不能全部視為經常性營運改善。</x:v>
      </x:c>
      <x:c r="B19" s="29"/>
      <x:c r="C19" s="29"/>
      <x:c r="D19" s="29"/>
      <x:c r="E19" s="29"/>
      <x:c r="F19" s="29"/>
      <x:c r="G19" s="29"/>
    </x:row>
    <x:row r="20" ht="36" customHeight="1">
      <x:c r="A20" s="29" t="str">
        <x:v>Interest expense 由 FY2025 Q2 YTD 的 147.87 下降至 FY2026 Q2 YTD 的 125.70。管理階層指出，定期貸款利息下降及利息收入增加使淨利息下降；本表費用化總利息另加回投資利息收入重建，並保留披露精度限制。</x:v>
      </x:c>
      <x:c r="B20" s="29"/>
      <x:c r="C20" s="29"/>
      <x:c r="D20" s="29"/>
      <x:c r="E20" s="29"/>
      <x:c r="F20" s="29"/>
      <x:c r="G20" s="29"/>
    </x:row>
    <x:row r="21" ht="36" customHeight="1">
      <x:c r="A21" s="29" t="str">
        <x:v>Pre-tax profit margin 由 FY2025 Q2 YTD 的 -43.50% 上升至 FY2026 Q2 YTD 的 22.40%。變動 65.90 個百分點。收購IPR&amp;D及訴訟費用同比減少、營收成長及PRV出售利益支持稅前結果改善；PRV USD122.8m為一次性利益。</x:v>
      </x:c>
      <x:c r="B21" s="29"/>
      <x:c r="C21" s="29"/>
      <x:c r="D21" s="29"/>
      <x:c r="E21" s="29"/>
      <x:c r="F21" s="29"/>
      <x:c r="G21" s="29"/>
    </x:row>
    <x:row r="22" ht="36" customHeight="1">
      <x:c r="A22" s="29" t="str">
        <x:v>所得表僅比較2025及2026年1月1日至6月30日六個月YTD。四個資產負債與LTM觀察日保留FY2024、2025Q2、FY2025及2026Q2。2026申報改採百萬顯示；原先精確申報值保留，沒有將比較欄四捨五入視為重編。</x:v>
      </x:c>
      <x:c r="B22" s="29"/>
      <x:c r="C22" s="29"/>
      <x:c r="D22" s="29"/>
      <x:c r="E22" s="29"/>
      <x:c r="F22" s="29"/>
      <x:c r="G22" s="29"/>
    </x:row>
    <x:row r="23">
      <x:c r="A23" s="26"/>
      <x:c r="B23" s="26"/>
      <x:c r="C23" s="26"/>
      <x:c r="D23" s="26"/>
      <x:c r="E23" s="26"/>
      <x:c r="F23" s="26"/>
      <x:c r="G23" s="26"/>
    </x:row>
    <x:row r="24">
      <x:c r="A24" s="26"/>
      <x:c r="B24" s="26"/>
      <x:c r="C24" s="26"/>
      <x:c r="D24" s="26"/>
      <x:c r="E24" s="26"/>
      <x:c r="F24" s="26"/>
      <x:c r="G24" s="26"/>
    </x:row>
    <x:row r="25">
      <x:c r="A25" s="27" t="str">
        <x:v>Ratios YTD</x:v>
      </x:c>
      <x:c r="B25" s="26"/>
      <x:c r="C25" s="26"/>
      <x:c r="D25" s="26"/>
      <x:c r="E25" s="26"/>
      <x:c r="F25" s="26"/>
      <x:c r="G25" s="26"/>
    </x:row>
    <x:row r="26" ht="36" customHeight="1">
      <x:c r="A26" s="28" t="str">
        <x:v>科目</x:v>
      </x:c>
      <x:c r="B26" s="28" t="str">
        <x:v>FY2024</x:v>
      </x:c>
      <x:c r="C26" s="28" t="str">
        <x:v>FY2025 Q2 YTD</x:v>
      </x:c>
      <x:c r="D26" s="28" t="str">
        <x:v>FY2025</x:v>
      </x:c>
      <x:c r="E26" s="28" t="str">
        <x:v>FY2026 Q2 YTD</x:v>
      </x:c>
      <x:c r="F26" s="26"/>
      <x:c r="G26" s="26"/>
    </x:row>
    <x:row r="27" ht="30" customHeight="1">
      <x:c r="A27" s="29" t="str">
        <x:v>Current ratio／流動比率</x:v>
      </x:c>
      <x:c r="B27" s="31" t="n">
        <x:f>'Sources'!B40</x:f>
        <x:v>4.457104122676018</x:v>
      </x:c>
      <x:c r="C27" s="31" t="n">
        <x:f>'Sources'!B41</x:f>
        <x:v>1.6176250057333774</x:v>
      </x:c>
      <x:c r="D27" s="31" t="n">
        <x:f>'Sources'!B42</x:f>
        <x:v>1.85774982709192</x:v>
      </x:c>
      <x:c r="E27" s="31" t="n">
        <x:f>'Sources'!B43</x:f>
        <x:v>1.7788237403622016</x:v>
      </x:c>
      <x:c r="F27" s="26"/>
      <x:c r="G27" s="26"/>
    </x:row>
    <x:row r="28" ht="30" customHeight="1">
      <x:c r="A28" s="29" t="str">
        <x:v>Quick ratio／速動比率</x:v>
      </x:c>
      <x:c r="B28" s="31" t="n">
        <x:f>'Sources'!B44</x:f>
        <x:v>3.571851954556877</x:v>
      </x:c>
      <x:c r="C28" s="31" t="n">
        <x:f>'Sources'!B45</x:f>
        <x:v>1.1509647765431235</x:v>
      </x:c>
      <x:c r="D28" s="31" t="n">
        <x:f>'Sources'!B46</x:f>
        <x:v>1.4593602467936755</x:v>
      </x:c>
      <x:c r="E28" s="31" t="n">
        <x:f>'Sources'!B47</x:f>
        <x:v>1.3809844002151692</x:v>
      </x:c>
      <x:c r="F28" s="26"/>
      <x:c r="G28" s="26"/>
    </x:row>
    <x:row r="29" ht="30" customHeight="1">
      <x:c r="A29" s="29" t="str">
        <x:v>Debt ratio／負債比率</x:v>
      </x:c>
      <x:c r="B29" s="31" t="n">
        <x:f>'Sources'!B48</x:f>
        <x:v>1.9342874856244487</x:v>
      </x:c>
      <x:c r="C29" s="31" t="n">
        <x:f>'Sources'!B49</x:f>
        <x:v>1.9528011182942613</x:v>
      </x:c>
      <x:c r="D29" s="31" t="n">
        <x:f>'Sources'!B50</x:f>
        <x:v>1.699806232783709</x:v>
      </x:c>
      <x:c r="E29" s="31" t="n">
        <x:f>'Sources'!B51</x:f>
        <x:v>1.3077035216694088</x:v>
      </x:c>
      <x:c r="F29" s="26"/>
      <x:c r="G29" s="26"/>
    </x:row>
    <x:row r="30">
      <x:c r="A30" s="26"/>
      <x:c r="B30" s="26"/>
      <x:c r="C30" s="26"/>
      <x:c r="D30" s="26"/>
      <x:c r="E30" s="26"/>
      <x:c r="F30" s="26"/>
      <x:c r="G30" s="26"/>
    </x:row>
    <x:row r="31" ht="36" customHeight="1">
      <x:c r="A31" s="29" t="str">
        <x:v>Current ratio 由 FY2025 的 185.77% 下降至 FY2026 Q2 YTD 的 177.88%。2026年6月底，現金、約當現金與投資合計約USD2.2bn；未動用循環額度USD885m另列，不加入速動資產。2030 Notes因股價條件符合轉列流動，2026 Notes已於6月到期償還；應區分流動分類與實際現金到期風險。</x:v>
      </x:c>
      <x:c r="B31" s="29"/>
      <x:c r="C31" s="29"/>
      <x:c r="D31" s="29"/>
      <x:c r="E31" s="29"/>
      <x:c r="F31" s="29"/>
      <x:c r="G31" s="29"/>
    </x:row>
    <x:row r="32" ht="36" customHeight="1">
      <x:c r="A32" s="29" t="str">
        <x:v>Debt ratio 由 FY2025 的 169.98% 下降至 FY2026 Q2 YTD 的 130.77%。所選來源輸入未附可核實的原因證據，本段僅作數值比較。</x:v>
      </x:c>
      <x:c r="B32" s="29"/>
      <x:c r="C32" s="29"/>
      <x:c r="D32" s="29"/>
      <x:c r="E32" s="29"/>
      <x:c r="F32" s="29"/>
      <x:c r="G32" s="29"/>
    </x:row>
    <x:row r="33">
      <x:c r="A33" s="26"/>
      <x:c r="B33" s="26"/>
      <x:c r="C33" s="26"/>
      <x:c r="D33" s="26"/>
      <x:c r="E33" s="26"/>
      <x:c r="F33" s="26"/>
      <x:c r="G33" s="26"/>
    </x:row>
    <x:row r="34">
      <x:c r="A34" s="26"/>
      <x:c r="B34" s="26"/>
      <x:c r="C34" s="26"/>
      <x:c r="D34" s="26"/>
      <x:c r="E34" s="26"/>
      <x:c r="F34" s="26"/>
      <x:c r="G34" s="26"/>
    </x:row>
    <x:row r="35">
      <x:c r="A35" s="27" t="str">
        <x:v>Leverage Analysis YTD</x:v>
      </x:c>
      <x:c r="B35" s="26"/>
      <x:c r="C35" s="26"/>
      <x:c r="D35" s="26"/>
      <x:c r="E35" s="26"/>
      <x:c r="F35" s="26"/>
      <x:c r="G35" s="26"/>
    </x:row>
    <x:row r="36" ht="36" customHeight="1">
      <x:c r="A36" s="28" t="str">
        <x:v>科目</x:v>
      </x:c>
      <x:c r="B36" s="28" t="str">
        <x:v>FY2024</x:v>
      </x:c>
      <x:c r="C36" s="28" t="str">
        <x:v>FY2025 Q2 YTD</x:v>
      </x:c>
      <x:c r="D36" s="28" t="str">
        <x:v>FY2025</x:v>
      </x:c>
      <x:c r="E36" s="28" t="str">
        <x:v>FY2026 Q2 YTD</x:v>
      </x:c>
      <x:c r="F36" s="26"/>
      <x:c r="G36" s="26"/>
    </x:row>
    <x:row r="37" ht="30" customHeight="1">
      <x:c r="A37" s="29" t="str">
        <x:v>Total debt／總債務</x:v>
      </x:c>
      <x:c r="B37" s="30" t="n">
        <x:f>'Sources'!B52</x:f>
        <x:v>6196.509</x:v>
      </x:c>
      <x:c r="C37" s="30" t="str">
        <x:f>'Sources'!B53</x:f>
        <x:v>缺少資料</x:v>
      </x:c>
      <x:c r="D37" s="30" t="n">
        <x:f>'Sources'!B54</x:f>
        <x:v>5414.379</x:v>
      </x:c>
      <x:c r="E37" s="30" t="str">
        <x:f>'Sources'!B55</x:f>
        <x:v>缺少資料</x:v>
      </x:c>
      <x:c r="F37" s="26"/>
      <x:c r="G37" s="26"/>
    </x:row>
    <x:row r="38" ht="30" customHeight="1">
      <x:c r="A38" s="29" t="str">
        <x:v>LTM EBITDA／最近完整年度 EBITDA</x:v>
      </x:c>
      <x:c r="B38" s="30" t="n">
        <x:f>'Sources'!B56</x:f>
        <x:v>1473.155</x:v>
      </x:c>
      <x:c r="C38" s="30" t="n">
        <x:f>'Sources'!B57</x:f>
        <x:v>475.79</x:v>
      </x:c>
      <x:c r="D38" s="30" t="n">
        <x:f>'Sources'!B58</x:f>
        <x:v>348.557</x:v>
      </x:c>
      <x:c r="E38" s="30" t="n">
        <x:f>'Sources'!B59</x:f>
        <x:v>1704.099</x:v>
      </x:c>
      <x:c r="F38" s="26"/>
      <x:c r="G38" s="26"/>
    </x:row>
    <x:row r="39" ht="80" customHeight="1">
      <x:c r="A39" s="29" t="str">
        <x:v>EBITDA basis／EBITDA 計算口徑</x:v>
      </x:c>
      <x:c r="B39" s="30" t="str">
        <x:f>'Sources'!B60</x:f>
        <x:v>Standard EBITDA: Net Income + Interest + Taxes + D&amp;A</x:v>
      </x:c>
      <x:c r="C39" s="30" t="str">
        <x:f>'Sources'!B61</x:f>
        <x:v>Standard EBITDA: Net Income + Interest + Taxes + D&amp;A</x:v>
      </x:c>
      <x:c r="D39" s="30" t="str">
        <x:f>'Sources'!B62</x:f>
        <x:v>Standard EBITDA: Net Income + Interest + Taxes + D&amp;A</x:v>
      </x:c>
      <x:c r="E39" s="30" t="str">
        <x:f>'Sources'!B63</x:f>
        <x:v>Standard EBITDA: Net Income + Interest + Taxes + D&amp;A</x:v>
      </x:c>
      <x:c r="F39" s="26"/>
      <x:c r="G39" s="26"/>
    </x:row>
    <x:row r="40" ht="30" customHeight="1">
      <x:c r="A40" s="29" t="str">
        <x:v>Total leverage ratio／總槓桿倍數</x:v>
      </x:c>
      <x:c r="B40" s="32" t="n">
        <x:f>'Sources'!B64</x:f>
        <x:v>4.20628447108417</x:v>
      </x:c>
      <x:c r="C40" s="32" t="str">
        <x:f>'Sources'!B65</x:f>
        <x:v>無法計算／待確認</x:v>
      </x:c>
      <x:c r="D40" s="32" t="n">
        <x:f>'Sources'!B66</x:f>
        <x:v>15.533697501412968</x:v>
      </x:c>
      <x:c r="E40" s="32" t="str">
        <x:f>'Sources'!B67</x:f>
        <x:v>無法計算／待確認</x:v>
      </x:c>
      <x:c r="F40" s="26"/>
      <x:c r="G40" s="26"/>
    </x:row>
    <x:row r="41">
      <x:c r="A41" s="26"/>
      <x:c r="B41" s="26"/>
      <x:c r="C41" s="26"/>
      <x:c r="D41" s="26"/>
      <x:c r="E41" s="26"/>
      <x:c r="F41" s="26"/>
      <x:c r="G41" s="26"/>
    </x:row>
    <x:row r="42" ht="36" customHeight="1">
      <x:c r="A42" s="29" t="str">
        <x:v>total_debt: No matching source in the reviewed inputs; not a claim of non-disclosure</x:v>
      </x:c>
      <x:c r="B42" s="29"/>
      <x:c r="C42" s="29"/>
      <x:c r="D42" s="29"/>
      <x:c r="E42" s="29"/>
      <x:c r="F42" s="29"/>
      <x:c r="G42" s="29"/>
    </x:row>
    <x:row r="43" ht="36" customHeight="1">
      <x:c r="A43" s="29" t="str">
        <x:v>LTM EBITDA 由 FY2025 的 348.56 上升至 FY2026 Q2 YTD 的 1,704.10。LTM採前一完整年度加當期YTD減前年同期YTD，沒有年化。Standard EBITDA保留收購IPR&amp;D、訴訟費用及PRV出售利益；2026年6月LTM已移出2025上半年大額費用並納入PRV利益，不能全部視為經常性成長。</x:v>
      </x:c>
      <x:c r="B43" s="29"/>
      <x:c r="C43" s="29"/>
      <x:c r="D43" s="29"/>
      <x:c r="E43" s="29"/>
      <x:c r="F43" s="29"/>
      <x:c r="G43" s="29"/>
    </x:row>
    <x:row r="44" ht="36" customHeight="1">
      <x:c r="A44" s="29" t="str">
        <x:v>total_leverage: Required inputs unavailable</x:v>
      </x:c>
      <x:c r="B44" s="29"/>
      <x:c r="C44" s="29"/>
      <x:c r="D44" s="29"/>
      <x:c r="E44" s="29"/>
      <x:c r="F44" s="29"/>
      <x:c r="G44" s="29"/>
    </x:row>
    <x:row r="45" ht="36" customHeight="1">
      <x:c r="A45" s="29" t="str">
        <x:v>2025及2026年6月底借款本金分別約USD5,426m及4,395m；它們尚未包含已核實的同期融資租賃負債，故不替代Total Debt或計算完整總槓桿。正式口徑為本金加融資租賃、排除營業租賃。EBITDA包含PRV一次性利益，並受利息收入與2026披露精度限制。</x:v>
      </x:c>
      <x:c r="B45" s="29"/>
      <x:c r="C45" s="29"/>
      <x:c r="D45" s="29"/>
      <x:c r="E45" s="29"/>
      <x:c r="F45" s="29"/>
      <x:c r="G45" s="29"/>
    </x:row>
    <x:row r="46">
      <x:c r="A46" s="26"/>
      <x:c r="B46" s="26"/>
      <x:c r="C46" s="26"/>
      <x:c r="D46" s="26"/>
      <x:c r="E46" s="26"/>
      <x:c r="F46" s="26"/>
      <x:c r="G46" s="26"/>
    </x:row>
    <x:row r="47">
      <x:c r="A47" s="26"/>
      <x:c r="B47" s="26"/>
      <x:c r="C47" s="26"/>
      <x:c r="D47" s="26"/>
      <x:c r="E47" s="26"/>
      <x:c r="F47" s="26"/>
      <x:c r="G47" s="26"/>
    </x:row>
    <x:row r="48">
      <x:c r="A48" s="26"/>
      <x:c r="B48" s="26"/>
      <x:c r="C48" s="26"/>
      <x:c r="D48" s="26"/>
      <x:c r="E48" s="26"/>
      <x:c r="F48" s="26"/>
      <x:c r="G48" s="26"/>
    </x:row>
  </x:sheetData>
  <x:mergeCells>
    <x:mergeCell ref="A1:G1"/>
    <x:mergeCell ref="A3:G3"/>
    <x:mergeCell ref="A17:G17"/>
    <x:mergeCell ref="A18:G18"/>
    <x:mergeCell ref="A19:G19"/>
    <x:mergeCell ref="A20:G20"/>
    <x:mergeCell ref="A21:G21"/>
    <x:mergeCell ref="A22:G22"/>
    <x:mergeCell ref="A31:G31"/>
    <x:mergeCell ref="A32:G32"/>
    <x:mergeCell ref="A42:G42"/>
    <x:mergeCell ref="A43:G43"/>
    <x:mergeCell ref="A44:G44"/>
    <x:mergeCell ref="A45:G45"/>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40" hidden="0" customWidth="1"/>
    <x:col min="2" max="2" width="24" hidden="0" customWidth="1"/>
    <x:col min="3" max="3" width="24" hidden="0" customWidth="1"/>
    <x:col min="4" max="4" width="16" hidden="0" customWidth="1"/>
    <x:col min="5" max="5" width="28" hidden="0" customWidth="1"/>
    <x:col min="6" max="6" width="65" hidden="0" customWidth="1"/>
    <x:col min="7" max="7" width="75" hidden="0" customWidth="1"/>
  </x:cols>
  <x:sheetData>
    <x:row r="1">
      <x:c r="A1" s="17" t="str">
        <x:v>JAZZ · 原始數值與計算來源</x:v>
      </x:c>
      <x:c r="B1" s="17"/>
      <x:c r="C1" s="17"/>
      <x:c r="D1" s="17"/>
      <x:c r="E1" s="17"/>
      <x:c r="F1" s="17"/>
      <x:c r="G1" s="17"/>
    </x:row>
    <x:row r="2">
      <x:c r="A2" s="17" t="str">
        <x:v>報表單位：USD / 1000000；C、D 欄保留來源原值與原始 scale</x:v>
      </x:c>
      <x:c r="B2" s="17"/>
      <x:c r="C2" s="17"/>
      <x:c r="D2" s="17"/>
      <x:c r="E2" s="17"/>
      <x:c r="F2" s="17"/>
      <x:c r="G2" s="17"/>
    </x:row>
    <x:row r="3" ht="32" customHeight="1">
      <x:c r="A3" s="28" t="str">
        <x:v>科目／期間</x:v>
      </x:c>
      <x:c r="B3" s="28" t="str">
        <x:v>報表值</x:v>
      </x:c>
      <x:c r="C3" s="28" t="str">
        <x:v>原始值</x:v>
      </x:c>
      <x:c r="D3" s="28" t="str">
        <x:v>原始 scale</x:v>
      </x:c>
      <x:c r="E3" s="28" t="str">
        <x:v>狀態</x:v>
      </x:c>
      <x:c r="F3" s="28" t="str">
        <x:v>定義／限制</x:v>
      </x:c>
      <x:c r="G3" s="28" t="str">
        <x:v>來源位置／證據</x:v>
      </x:c>
    </x:row>
    <x:row r="4" ht="30" customHeight="1">
      <x:c r="A4" s="26" t="str">
        <x:v>revenue:prior_interim</x:v>
      </x:c>
      <x:c r="B4" s="38" t="n">
        <x:f>IF(AND(ISNUMBER(C4),ISNUMBER(D4)),C4*D4/1000000,"缺少資料")</x:f>
        <x:v>1943.553</x:v>
      </x:c>
      <x:c r="C4" s="39" t="n">
        <x:v>1943553000</x:v>
      </x:c>
      <x:c r="D4" s="39" t="n">
        <x:v>1</x:v>
      </x:c>
      <x:c r="E4" s="26" t="str">
        <x:v>sourced</x:v>
      </x:c>
      <x:c r="F4" s="29" t="str">
        <x:v>Source revenue or net sales</x:v>
      </x:c>
      <x:c r="G4" s="29" t="str">
        <x:v>SEC original exact-interval XBRL and reviewed statement; original precision retained, later rounded comparative not treated as restatement</x:v>
      </x:c>
    </x:row>
    <x:row r="5" ht="30" customHeight="1">
      <x:c r="A5" s="26" t="str">
        <x:v>revenue:pct:prior_interim</x:v>
      </x:c>
      <x:c r="B5" s="40" t="n">
        <x:f>IF(AND(ISNUMBER(B4),ISNUMBER(B4)),IF(B4=0,"無法計算",B4/B4),"缺少資料")</x:f>
        <x:v>1</x:v>
      </x:c>
      <x:c r="C5" s="39"/>
      <x:c r="D5" s="39"/>
      <x:c r="E5" s="26" t="str">
        <x:v>calculated</x:v>
      </x:c>
      <x:c r="F5" s="29" t="str">
        <x:v>revenue / revenue</x:v>
      </x:c>
      <x:c r="G5" s="29" t="str"/>
    </x:row>
    <x:row r="6" ht="30" customHeight="1">
      <x:c r="A6" s="26" t="str">
        <x:v>revenue:current_interim</x:v>
      </x:c>
      <x:c r="B6" s="38" t="n">
        <x:f>IF(AND(ISNUMBER(C6),ISNUMBER(D6)),C6*D6/1000000,"缺少資料")</x:f>
        <x:v>2277.2</x:v>
      </x:c>
      <x:c r="C6" s="39" t="n">
        <x:v>2277200000</x:v>
      </x:c>
      <x:c r="D6" s="39" t="n">
        <x:v>1</x:v>
      </x:c>
      <x:c r="E6" s="26" t="str">
        <x:v>sourced</x:v>
      </x:c>
      <x:c r="F6" s="29" t="str">
        <x:v>Source revenue or net sales</x:v>
      </x:c>
      <x:c r="G6" s="29" t="str">
        <x:v>SEC original exact-interval XBRL and reviewed statement; original precision retained, later rounded comparative not treated as restatement</x:v>
      </x:c>
    </x:row>
    <x:row r="7" ht="30" customHeight="1">
      <x:c r="A7" s="26" t="str">
        <x:v>revenue:pct:current_interim</x:v>
      </x:c>
      <x:c r="B7" s="40" t="n">
        <x:f>IF(AND(ISNUMBER(B6),ISNUMBER(B6)),IF(B6=0,"無法計算",B6/B6),"缺少資料")</x:f>
        <x:v>1</x:v>
      </x:c>
      <x:c r="C7" s="39"/>
      <x:c r="D7" s="39"/>
      <x:c r="E7" s="26" t="str">
        <x:v>calculated</x:v>
      </x:c>
      <x:c r="F7" s="29" t="str">
        <x:v>revenue / revenue</x:v>
      </x:c>
      <x:c r="G7" s="29" t="str"/>
    </x:row>
    <x:row r="8" ht="30" customHeight="1">
      <x:c r="A8" s="26" t="str">
        <x:v>cost_of_revenue:prior_interim</x:v>
      </x:c>
      <x:c r="B8" s="38" t="n">
        <x:f>IF(AND(ISNUMBER(C8),ISNUMBER(D8)),C8*D8/1000000,"缺少資料")</x:f>
        <x:v>220.9</x:v>
      </x:c>
      <x:c r="C8" s="39" t="n">
        <x:v>220900000</x:v>
      </x:c>
      <x:c r="D8" s="39" t="n">
        <x:v>1</x:v>
      </x:c>
      <x:c r="E8" s="26" t="str">
        <x:v>sourced</x:v>
      </x:c>
      <x:c r="F8" s="29" t="str">
        <x:v>Source cost of revenue, sales or services</x:v>
      </x:c>
      <x:c r="G8" s="29" t="str">
        <x:v>SEC original exact-interval XBRL and reviewed statement; original precision retained, later rounded comparative not treated as restatement</x:v>
      </x:c>
    </x:row>
    <x:row r="9" ht="30" customHeight="1">
      <x:c r="A9" s="26" t="str">
        <x:v>cost_of_revenue:pct:prior_interim</x:v>
      </x:c>
      <x:c r="B9" s="40" t="n">
        <x:f>IF(AND(ISNUMBER(B8),ISNUMBER(B4)),IF(B4=0,"無法計算",B8/B4),"缺少資料")</x:f>
        <x:v>0.11365782152583438</x:v>
      </x:c>
      <x:c r="C9" s="39"/>
      <x:c r="D9" s="39"/>
      <x:c r="E9" s="26" t="str">
        <x:v>calculated</x:v>
      </x:c>
      <x:c r="F9" s="29" t="str">
        <x:v>cost_of_revenue / revenue</x:v>
      </x:c>
      <x:c r="G9" s="29" t="str"/>
    </x:row>
    <x:row r="10" ht="30" customHeight="1">
      <x:c r="A10" s="26" t="str">
        <x:v>cost_of_revenue:current_interim</x:v>
      </x:c>
      <x:c r="B10" s="38" t="n">
        <x:f>IF(AND(ISNUMBER(C10),ISNUMBER(D10)),C10*D10/1000000,"缺少資料")</x:f>
        <x:v>250.5</x:v>
      </x:c>
      <x:c r="C10" s="39" t="n">
        <x:v>250500000</x:v>
      </x:c>
      <x:c r="D10" s="39" t="n">
        <x:v>1</x:v>
      </x:c>
      <x:c r="E10" s="26" t="str">
        <x:v>sourced</x:v>
      </x:c>
      <x:c r="F10" s="29" t="str">
        <x:v>Source cost of revenue, sales or services</x:v>
      </x:c>
      <x:c r="G10" s="29" t="str">
        <x:v>SEC original exact-interval XBRL and reviewed statement; original precision retained, later rounded comparative not treated as restatement</x:v>
      </x:c>
    </x:row>
    <x:row r="11" ht="30" customHeight="1">
      <x:c r="A11" s="26" t="str">
        <x:v>cost_of_revenue:pct:current_interim</x:v>
      </x:c>
      <x:c r="B11" s="40" t="n">
        <x:f>IF(AND(ISNUMBER(B10),ISNUMBER(B6)),IF(B6=0,"無法計算",B10/B6),"缺少資料")</x:f>
        <x:v>0.11000351308624627</x:v>
      </x:c>
      <x:c r="C11" s="39"/>
      <x:c r="D11" s="39"/>
      <x:c r="E11" s="26" t="str">
        <x:v>calculated</x:v>
      </x:c>
      <x:c r="F11" s="29" t="str">
        <x:v>cost_of_revenue / revenue</x:v>
      </x:c>
      <x:c r="G11" s="29" t="str"/>
    </x:row>
    <x:row r="12" ht="30" customHeight="1">
      <x:c r="A12" s="26" t="str">
        <x:v>gross_profit:prior_interim</x:v>
      </x:c>
      <x:c r="B12" s="38" t="n">
        <x:f>IF(AND(ISNUMBER(C12),ISNUMBER(D12)),C12*D12/1000000,"缺少資料")</x:f>
        <x:v>1722.653</x:v>
      </x:c>
      <x:c r="C12" s="39" t="n">
        <x:v>1722653000</x:v>
      </x:c>
      <x:c r="D12" s="39" t="n">
        <x:v>1</x:v>
      </x:c>
      <x:c r="E12" s="26" t="str">
        <x:v>sourced</x:v>
      </x:c>
      <x:c r="F12" s="29" t="str">
        <x:v>Source gross profit; derive only with verified identity</x:v>
      </x:c>
      <x:c r="G12" s="29" t="str">
        <x:v>SEC original exact-interval XBRL and reviewed statement; original precision retained, later rounded comparative not treated as restatement</x:v>
      </x:c>
    </x:row>
    <x:row r="13" ht="30" customHeight="1">
      <x:c r="A13" s="26" t="str">
        <x:v>gross_profit:pct:prior_interim</x:v>
      </x:c>
      <x:c r="B13" s="40" t="n">
        <x:f>IF(AND(ISNUMBER(B12),ISNUMBER(B4)),IF(B4=0,"無法計算",B12/B4),"缺少資料")</x:f>
        <x:v>0.8863421784741655</x:v>
      </x:c>
      <x:c r="C13" s="39"/>
      <x:c r="D13" s="39"/>
      <x:c r="E13" s="26" t="str">
        <x:v>calculated</x:v>
      </x:c>
      <x:c r="F13" s="29" t="str">
        <x:v>gross_profit / revenue</x:v>
      </x:c>
      <x:c r="G13" s="29" t="str"/>
    </x:row>
    <x:row r="14" ht="30" customHeight="1">
      <x:c r="A14" s="26" t="str">
        <x:v>gross_profit:current_interim</x:v>
      </x:c>
      <x:c r="B14" s="38" t="n">
        <x:f>IF(AND(ISNUMBER(C14),ISNUMBER(D14)),C14*D14/1000000,"缺少資料")</x:f>
        <x:v>2026.7</x:v>
      </x:c>
      <x:c r="C14" s="39" t="n">
        <x:v>2026700000</x:v>
      </x:c>
      <x:c r="D14" s="39" t="n">
        <x:v>1</x:v>
      </x:c>
      <x:c r="E14" s="26" t="str">
        <x:v>sourced</x:v>
      </x:c>
      <x:c r="F14" s="29" t="str">
        <x:v>Source gross profit; derive only with verified identity</x:v>
      </x:c>
      <x:c r="G14" s="29" t="str">
        <x:v>SEC original exact-interval XBRL and reviewed statement; original precision retained, later rounded comparative not treated as restatement</x:v>
      </x:c>
    </x:row>
    <x:row r="15" ht="30" customHeight="1">
      <x:c r="A15" s="26" t="str">
        <x:v>gross_profit:pct:current_interim</x:v>
      </x:c>
      <x:c r="B15" s="40" t="n">
        <x:f>IF(AND(ISNUMBER(B14),ISNUMBER(B6)),IF(B6=0,"無法計算",B14/B6),"缺少資料")</x:f>
        <x:v>0.8899964869137538</x:v>
      </x:c>
      <x:c r="C15" s="39"/>
      <x:c r="D15" s="39"/>
      <x:c r="E15" s="26" t="str">
        <x:v>calculated</x:v>
      </x:c>
      <x:c r="F15" s="29" t="str">
        <x:v>gross_profit / revenue</x:v>
      </x:c>
      <x:c r="G15" s="29" t="str"/>
    </x:row>
    <x:row r="16" ht="30" customHeight="1">
      <x:c r="A16" s="26" t="str">
        <x:v>operating_expense:prior_interim</x:v>
      </x:c>
      <x:c r="B16" s="38" t="n">
        <x:f>IF(AND(ISNUMBER(C16),ISNUMBER(D16)),C16*D16/1000000,"缺少資料")</x:f>
        <x:v>2464.937</x:v>
      </x:c>
      <x:c r="C16" s="39" t="n">
        <x:v>2464937000</x:v>
      </x:c>
      <x:c r="D16" s="39" t="n">
        <x:v>1</x:v>
      </x:c>
      <x:c r="E16" s="26" t="str">
        <x:v>sourced</x:v>
      </x:c>
      <x:c r="F16" s="29" t="str">
        <x:v>Operating expense excluding cost of revenue; verified scope</x:v>
      </x:c>
      <x:c r="G16" s="29" t="str">
        <x:v>SEC original exact-interval XBRL and reviewed statement; original precision retained, later rounded comparative not treated as restatement</x:v>
      </x:c>
    </x:row>
    <x:row r="17" ht="30" customHeight="1">
      <x:c r="A17" s="26" t="str">
        <x:v>operating_expense:pct:prior_interim</x:v>
      </x:c>
      <x:c r="B17" s="40" t="n">
        <x:f>IF(AND(ISNUMBER(B16),ISNUMBER(B4)),IF(B4=0,"無法計算",B16/B4),"缺少資料")</x:f>
        <x:v>1.2682633300969923</x:v>
      </x:c>
      <x:c r="C17" s="39"/>
      <x:c r="D17" s="39"/>
      <x:c r="E17" s="26" t="str">
        <x:v>calculated</x:v>
      </x:c>
      <x:c r="F17" s="29" t="str">
        <x:v>operating_expense / revenue</x:v>
      </x:c>
      <x:c r="G17" s="29" t="str"/>
    </x:row>
    <x:row r="18" ht="30" customHeight="1">
      <x:c r="A18" s="26" t="str">
        <x:v>operating_expense:current_interim</x:v>
      </x:c>
      <x:c r="B18" s="38" t="n">
        <x:f>IF(AND(ISNUMBER(C18),ISNUMBER(D18)),C18*D18/1000000,"缺少資料")</x:f>
        <x:v>1441.9</x:v>
      </x:c>
      <x:c r="C18" s="39" t="n">
        <x:v>1441900000</x:v>
      </x:c>
      <x:c r="D18" s="39" t="n">
        <x:v>1</x:v>
      </x:c>
      <x:c r="E18" s="26" t="str">
        <x:v>sourced</x:v>
      </x:c>
      <x:c r="F18" s="29" t="str">
        <x:v>Operating expense excluding cost of revenue; verified scope</x:v>
      </x:c>
      <x:c r="G18" s="29" t="str">
        <x:v>SEC original exact-interval XBRL and reviewed statement; original precision retained, later rounded comparative not treated as restatement</x:v>
      </x:c>
    </x:row>
    <x:row r="19" ht="30" customHeight="1">
      <x:c r="A19" s="26" t="str">
        <x:v>operating_expense:pct:current_interim</x:v>
      </x:c>
      <x:c r="B19" s="40" t="n">
        <x:f>IF(AND(ISNUMBER(B18),ISNUMBER(B6)),IF(B6=0,"無法計算",B18/B6),"缺少資料")</x:f>
        <x:v>0.6331898823116109</x:v>
      </x:c>
      <x:c r="C19" s="39"/>
      <x:c r="D19" s="39"/>
      <x:c r="E19" s="26" t="str">
        <x:v>calculated</x:v>
      </x:c>
      <x:c r="F19" s="29" t="str">
        <x:v>operating_expense / revenue</x:v>
      </x:c>
      <x:c r="G19" s="29" t="str"/>
    </x:row>
    <x:row r="20" ht="30" customHeight="1">
      <x:c r="A20" s="26" t="str">
        <x:v>operating_income:prior_interim</x:v>
      </x:c>
      <x:c r="B20" s="38" t="n">
        <x:f>IF(AND(ISNUMBER(C20),ISNUMBER(D20)),C20*D20/1000000,"缺少資料")</x:f>
        <x:v>-742.284</x:v>
      </x:c>
      <x:c r="C20" s="39" t="n">
        <x:v>-742284000</x:v>
      </x:c>
      <x:c r="D20" s="39" t="n">
        <x:v>1</x:v>
      </x:c>
      <x:c r="E20" s="26" t="str">
        <x:v>sourced</x:v>
      </x:c>
      <x:c r="F20" s="29" t="str">
        <x:v>Source operating profit</x:v>
      </x:c>
      <x:c r="G20" s="29" t="str">
        <x:v>SEC original exact-interval XBRL and reviewed statement; original precision retained, later rounded comparative not treated as restatement</x:v>
      </x:c>
    </x:row>
    <x:row r="21" ht="30" customHeight="1">
      <x:c r="A21" s="26" t="str">
        <x:v>operating_income:pct:prior_interim</x:v>
      </x:c>
      <x:c r="B21" s="40" t="n">
        <x:f>IF(AND(ISNUMBER(B20),ISNUMBER(B4)),IF(B4=0,"無法計算",B20/B4),"缺少資料")</x:f>
        <x:v>-0.3819211516228268</x:v>
      </x:c>
      <x:c r="C21" s="39"/>
      <x:c r="D21" s="39"/>
      <x:c r="E21" s="26" t="str">
        <x:v>calculated</x:v>
      </x:c>
      <x:c r="F21" s="29" t="str">
        <x:v>operating_income / revenue</x:v>
      </x:c>
      <x:c r="G21" s="29" t="str"/>
    </x:row>
    <x:row r="22" ht="30" customHeight="1">
      <x:c r="A22" s="26" t="str">
        <x:v>operating_income:current_interim</x:v>
      </x:c>
      <x:c r="B22" s="38" t="n">
        <x:f>IF(AND(ISNUMBER(C22),ISNUMBER(D22)),C22*D22/1000000,"缺少資料")</x:f>
        <x:v>584.8</x:v>
      </x:c>
      <x:c r="C22" s="39" t="n">
        <x:v>584800000</x:v>
      </x:c>
      <x:c r="D22" s="39" t="n">
        <x:v>1</x:v>
      </x:c>
      <x:c r="E22" s="26" t="str">
        <x:v>sourced</x:v>
      </x:c>
      <x:c r="F22" s="29" t="str">
        <x:v>Source operating profit</x:v>
      </x:c>
      <x:c r="G22" s="29" t="str">
        <x:v>SEC original exact-interval XBRL and reviewed statement; original precision retained, later rounded comparative not treated as restatement</x:v>
      </x:c>
    </x:row>
    <x:row r="23" ht="30" customHeight="1">
      <x:c r="A23" s="26" t="str">
        <x:v>operating_income:pct:current_interim</x:v>
      </x:c>
      <x:c r="B23" s="40" t="n">
        <x:f>IF(AND(ISNUMBER(B22),ISNUMBER(B6)),IF(B6=0,"無法計算",B22/B6),"缺少資料")</x:f>
        <x:v>0.256806604602143</x:v>
      </x:c>
      <x:c r="C23" s="39"/>
      <x:c r="D23" s="39"/>
      <x:c r="E23" s="26" t="str">
        <x:v>calculated</x:v>
      </x:c>
      <x:c r="F23" s="29" t="str">
        <x:v>operating_income / revenue</x:v>
      </x:c>
      <x:c r="G23" s="29" t="str"/>
    </x:row>
    <x:row r="24" ht="30" customHeight="1">
      <x:c r="A24" s="26" t="str">
        <x:v>interest_expense:prior_interim</x:v>
      </x:c>
      <x:c r="B24" s="38" t="n">
        <x:f>IF(AND(ISNUMBER(C24),ISNUMBER(D24)),C24*D24/1000000,"缺少資料")</x:f>
        <x:v>147.869</x:v>
      </x:c>
      <x:c r="C24" s="39" t="n">
        <x:v>147869000</x:v>
      </x:c>
      <x:c r="D24" s="39" t="n">
        <x:v>1</x:v>
      </x:c>
      <x:c r="E24" s="26" t="str">
        <x:v>sourced</x:v>
      </x:c>
      <x:c r="F24" s="29" t="str">
        <x:v>Gross expensed interest without netting interest income; exclude separately capitalized interest</x:v>
      </x:c>
      <x:c r="G24" s="29" t="str">
        <x:v>SEC original exact-interval XBRL and reviewed statement; original precision retained, later rounded comparative not treated as restatement</x:v>
      </x:c>
    </x:row>
    <x:row r="25" ht="30" customHeight="1">
      <x:c r="A25" s="26" t="str">
        <x:v>interest_expense:pct:prior_interim</x:v>
      </x:c>
      <x:c r="B25" s="40" t="n">
        <x:f>IF(AND(ISNUMBER(B24),ISNUMBER(B4)),IF(B4=0,"無法計算",B24/B4),"缺少資料")</x:f>
        <x:v>0.07608179452785696</x:v>
      </x:c>
      <x:c r="C25" s="39"/>
      <x:c r="D25" s="39"/>
      <x:c r="E25" s="26" t="str">
        <x:v>calculated</x:v>
      </x:c>
      <x:c r="F25" s="29" t="str">
        <x:v>interest_expense / revenue</x:v>
      </x:c>
      <x:c r="G25" s="29" t="str"/>
    </x:row>
    <x:row r="26" ht="30" customHeight="1">
      <x:c r="A26" s="26" t="str">
        <x:v>interest_expense:current_interim</x:v>
      </x:c>
      <x:c r="B26" s="38" t="n">
        <x:f>IF(AND(ISNUMBER(C26),ISNUMBER(D26)),C26*D26/1000000,"缺少資料")</x:f>
        <x:v>125.7</x:v>
      </x:c>
      <x:c r="C26" s="39" t="n">
        <x:v>125700000</x:v>
      </x:c>
      <x:c r="D26" s="39" t="n">
        <x:v>1</x:v>
      </x:c>
      <x:c r="E26" s="26" t="str">
        <x:v>sourced</x:v>
      </x:c>
      <x:c r="F26" s="29" t="str">
        <x:v>Gross expensed interest without netting interest income; exclude separately capitalized interest</x:v>
      </x:c>
      <x:c r="G26" s="29" t="str">
        <x:v>SEC original exact-interval XBRL and reviewed statement; original precision retained, later rounded comparative not treated as restatement</x:v>
      </x:c>
    </x:row>
    <x:row r="27" ht="30" customHeight="1">
      <x:c r="A27" s="26" t="str">
        <x:v>interest_expense:pct:current_interim</x:v>
      </x:c>
      <x:c r="B27" s="40" t="n">
        <x:f>IF(AND(ISNUMBER(B26),ISNUMBER(B6)),IF(B6=0,"無法計算",B26/B6),"缺少資料")</x:f>
        <x:v>0.05519936764447568</x:v>
      </x:c>
      <x:c r="C27" s="39"/>
      <x:c r="D27" s="39"/>
      <x:c r="E27" s="26" t="str">
        <x:v>calculated</x:v>
      </x:c>
      <x:c r="F27" s="29" t="str">
        <x:v>interest_expense / revenue</x:v>
      </x:c>
      <x:c r="G27" s="29" t="str"/>
    </x:row>
    <x:row r="28" ht="30" customHeight="1">
      <x:c r="A28" s="26" t="str">
        <x:v>pretax_profit:prior_interim</x:v>
      </x:c>
      <x:c r="B28" s="38" t="n">
        <x:f>IF(AND(ISNUMBER(C28),ISNUMBER(D28)),C28*D28/1000000,"缺少資料")</x:f>
        <x:v>-845.365</x:v>
      </x:c>
      <x:c r="C28" s="39" t="n">
        <x:v>-845365000</x:v>
      </x:c>
      <x:c r="D28" s="39" t="n">
        <x:v>1</x:v>
      </x:c>
      <x:c r="E28" s="26" t="str">
        <x:v>sourced</x:v>
      </x:c>
      <x:c r="F28" s="29" t="str">
        <x:v>Source pre-tax profit; preserve signed tax benefits in identities</x:v>
      </x:c>
      <x:c r="G28" s="29" t="str">
        <x:v>SEC original exact-interval XBRL and reviewed statement; original precision retained, later rounded comparative not treated as restatement</x:v>
      </x:c>
    </x:row>
    <x:row r="29" ht="30" customHeight="1">
      <x:c r="A29" s="26" t="str">
        <x:v>pretax_profit:pct:prior_interim</x:v>
      </x:c>
      <x:c r="B29" s="40" t="n">
        <x:f>IF(AND(ISNUMBER(B28),ISNUMBER(B4)),IF(B4=0,"無法計算",B28/B4),"缺少資料")</x:f>
        <x:v>-0.4349585527124807</x:v>
      </x:c>
      <x:c r="C29" s="39"/>
      <x:c r="D29" s="39"/>
      <x:c r="E29" s="26" t="str">
        <x:v>calculated</x:v>
      </x:c>
      <x:c r="F29" s="29" t="str">
        <x:v>pretax_profit / revenue</x:v>
      </x:c>
      <x:c r="G29" s="29" t="str"/>
    </x:row>
    <x:row r="30" ht="30" customHeight="1">
      <x:c r="A30" s="26" t="str">
        <x:v>pretax_profit:current_interim</x:v>
      </x:c>
      <x:c r="B30" s="38" t="n">
        <x:f>IF(AND(ISNUMBER(C30),ISNUMBER(D30)),C30*D30/1000000,"缺少資料")</x:f>
        <x:v>510.2</x:v>
      </x:c>
      <x:c r="C30" s="39" t="n">
        <x:v>510200000</x:v>
      </x:c>
      <x:c r="D30" s="39" t="n">
        <x:v>1</x:v>
      </x:c>
      <x:c r="E30" s="26" t="str">
        <x:v>sourced</x:v>
      </x:c>
      <x:c r="F30" s="29" t="str">
        <x:v>Source pre-tax profit; preserve signed tax benefits in identities</x:v>
      </x:c>
      <x:c r="G30" s="29" t="str">
        <x:v>SEC original exact-interval XBRL and reviewed statement; original precision retained, later rounded comparative not treated as restatement</x:v>
      </x:c>
    </x:row>
    <x:row r="31" ht="30" customHeight="1">
      <x:c r="A31" s="26" t="str">
        <x:v>pretax_profit:pct:current_interim</x:v>
      </x:c>
      <x:c r="B31" s="40" t="n">
        <x:f>IF(AND(ISNUMBER(B30),ISNUMBER(B6)),IF(B6=0,"無法計算",B30/B6),"缺少資料")</x:f>
        <x:v>0.22404707535569998</x:v>
      </x:c>
      <x:c r="C31" s="39"/>
      <x:c r="D31" s="39"/>
      <x:c r="E31" s="26" t="str">
        <x:v>calculated</x:v>
      </x:c>
      <x:c r="F31" s="29" t="str">
        <x:v>pretax_profit / revenue</x:v>
      </x:c>
      <x:c r="G31" s="29" t="str"/>
    </x:row>
    <x:row r="32" ht="30" customHeight="1">
      <x:c r="A32" s="26" t="str">
        <x:v>income_tax:prior_interim</x:v>
      </x:c>
      <x:c r="B32" s="38" t="n">
        <x:f>IF(AND(ISNUMBER(C32),ISNUMBER(D32)),C32*D32/1000000,"缺少資料")</x:f>
        <x:v>-34.982</x:v>
      </x:c>
      <x:c r="C32" s="39" t="n">
        <x:v>-34982000</x:v>
      </x:c>
      <x:c r="D32" s="39" t="n">
        <x:v>1</x:v>
      </x:c>
      <x:c r="E32" s="26" t="str">
        <x:v>sourced</x:v>
      </x:c>
      <x:c r="F32" s="29" t="str">
        <x:v>Signed income tax expense or benefit</x:v>
      </x:c>
      <x:c r="G32" s="29" t="str">
        <x:v>SEC original exact-interval XBRL and reviewed statement; original precision retained, later rounded comparative not treated as restatement</x:v>
      </x:c>
    </x:row>
    <x:row r="33" ht="30" customHeight="1">
      <x:c r="A33" s="26" t="str">
        <x:v>income_tax:pct:prior_interim</x:v>
      </x:c>
      <x:c r="B33" s="40" t="n">
        <x:f>IF(AND(ISNUMBER(B32),ISNUMBER(B4)),IF(B4=0,"無法計算",B32/B4),"缺少資料")</x:f>
        <x:v>-0.01799899462479284</x:v>
      </x:c>
      <x:c r="C33" s="39"/>
      <x:c r="D33" s="39"/>
      <x:c r="E33" s="26" t="str">
        <x:v>calculated</x:v>
      </x:c>
      <x:c r="F33" s="29" t="str">
        <x:v>income_tax / revenue</x:v>
      </x:c>
      <x:c r="G33" s="29" t="str"/>
    </x:row>
    <x:row r="34" ht="30" customHeight="1">
      <x:c r="A34" s="26" t="str">
        <x:v>income_tax:current_interim</x:v>
      </x:c>
      <x:c r="B34" s="38" t="n">
        <x:f>IF(AND(ISNUMBER(C34),ISNUMBER(D34)),C34*D34/1000000,"缺少資料")</x:f>
        <x:v>24.2</x:v>
      </x:c>
      <x:c r="C34" s="39" t="n">
        <x:v>24200000</x:v>
      </x:c>
      <x:c r="D34" s="39" t="n">
        <x:v>1</x:v>
      </x:c>
      <x:c r="E34" s="26" t="str">
        <x:v>sourced</x:v>
      </x:c>
      <x:c r="F34" s="29" t="str">
        <x:v>Signed income tax expense or benefit</x:v>
      </x:c>
      <x:c r="G34" s="29" t="str">
        <x:v>SEC original exact-interval XBRL and reviewed statement; original precision retained, later rounded comparative not treated as restatement</x:v>
      </x:c>
    </x:row>
    <x:row r="35" ht="30" customHeight="1">
      <x:c r="A35" s="26" t="str">
        <x:v>income_tax:pct:current_interim</x:v>
      </x:c>
      <x:c r="B35" s="40" t="n">
        <x:f>IF(AND(ISNUMBER(B34),ISNUMBER(B6)),IF(B6=0,"無法計算",B34/B6),"缺少資料")</x:f>
        <x:v>0.010627085894958721</x:v>
      </x:c>
      <x:c r="C35" s="39"/>
      <x:c r="D35" s="39"/>
      <x:c r="E35" s="26" t="str">
        <x:v>calculated</x:v>
      </x:c>
      <x:c r="F35" s="29" t="str">
        <x:v>income_tax / revenue</x:v>
      </x:c>
      <x:c r="G35" s="29" t="str"/>
    </x:row>
    <x:row r="36" ht="30" customHeight="1">
      <x:c r="A36" s="26" t="str">
        <x:v>net_income:prior_interim</x:v>
      </x:c>
      <x:c r="B36" s="38" t="n">
        <x:f>IF(AND(ISNUMBER(C36),ISNUMBER(D36)),C36*D36/1000000,"缺少資料")</x:f>
        <x:v>-811.011</x:v>
      </x:c>
      <x:c r="C36" s="39" t="n">
        <x:v>-811011000</x:v>
      </x:c>
      <x:c r="D36" s="39" t="n">
        <x:v>1</x:v>
      </x:c>
      <x:c r="E36" s="26" t="str">
        <x:v>sourced</x:v>
      </x:c>
      <x:c r="F36" s="29" t="str">
        <x:v>Source net income with consolidation scope</x:v>
      </x:c>
      <x:c r="G36" s="29" t="str">
        <x:v>SEC original exact-interval XBRL and reviewed statement; original precision retained, later rounded comparative not treated as restatement</x:v>
      </x:c>
    </x:row>
    <x:row r="37" ht="30" customHeight="1">
      <x:c r="A37" s="26" t="str">
        <x:v>net_income:pct:prior_interim</x:v>
      </x:c>
      <x:c r="B37" s="40" t="n">
        <x:f>IF(AND(ISNUMBER(B36),ISNUMBER(B4)),IF(B4=0,"無法計算",B36/B4),"缺少資料")</x:f>
        <x:v>-0.41728267765273186</x:v>
      </x:c>
      <x:c r="C37" s="39"/>
      <x:c r="D37" s="39"/>
      <x:c r="E37" s="26" t="str">
        <x:v>calculated</x:v>
      </x:c>
      <x:c r="F37" s="29" t="str">
        <x:v>net_income / revenue</x:v>
      </x:c>
      <x:c r="G37" s="29" t="str"/>
    </x:row>
    <x:row r="38" ht="30" customHeight="1">
      <x:c r="A38" s="26" t="str">
        <x:v>net_income:current_interim</x:v>
      </x:c>
      <x:c r="B38" s="38" t="n">
        <x:f>IF(AND(ISNUMBER(C38),ISNUMBER(D38)),C38*D38/1000000,"缺少資料")</x:f>
        <x:v>485.9</x:v>
      </x:c>
      <x:c r="C38" s="39" t="n">
        <x:v>485900000</x:v>
      </x:c>
      <x:c r="D38" s="39" t="n">
        <x:v>1</x:v>
      </x:c>
      <x:c r="E38" s="26" t="str">
        <x:v>sourced</x:v>
      </x:c>
      <x:c r="F38" s="29" t="str">
        <x:v>Source net income with consolidation scope</x:v>
      </x:c>
      <x:c r="G38" s="29" t="str">
        <x:v>SEC original exact-interval XBRL and reviewed statement; original precision retained, later rounded comparative not treated as restatement</x:v>
      </x:c>
    </x:row>
    <x:row r="39" ht="30" customHeight="1">
      <x:c r="A39" s="26" t="str">
        <x:v>net_income:pct:current_interim</x:v>
      </x:c>
      <x:c r="B39" s="40" t="n">
        <x:f>IF(AND(ISNUMBER(B38),ISNUMBER(B6)),IF(B6=0,"無法計算",B38/B6),"缺少資料")</x:f>
        <x:v>0.2133760758826629</x:v>
      </x:c>
      <x:c r="C39" s="39"/>
      <x:c r="D39" s="39"/>
      <x:c r="E39" s="26" t="str">
        <x:v>calculated</x:v>
      </x:c>
      <x:c r="F39" s="29" t="str">
        <x:v>net_income / revenue</x:v>
      </x:c>
      <x:c r="G39" s="29" t="str"/>
    </x:row>
    <x:row r="40" ht="30" customHeight="1">
      <x:c r="A40" s="26" t="str">
        <x:v>current_ratio:earlier_fy_end</x:v>
      </x:c>
      <x:c r="B40" s="40" t="n">
        <x:f>IF(AND(ISNUMBER(B70),ISNUMBER(B71)),IF(B71=0,"無法計算",B70/B71),"缺少資料")</x:f>
        <x:v>4.457104122676018</x:v>
      </x:c>
      <x:c r="C40" s="39"/>
      <x:c r="D40" s="39"/>
      <x:c r="E40" s="26" t="str">
        <x:v>calculated</x:v>
      </x:c>
      <x:c r="F40" s="29" t="str">
        <x:v>Current Assets / Current Liabilities</x:v>
      </x:c>
      <x:c r="G40" s="29" t="str"/>
    </x:row>
    <x:row r="41" ht="30" customHeight="1">
      <x:c r="A41" s="26" t="str">
        <x:v>current_ratio:prior_interim</x:v>
      </x:c>
      <x:c r="B41" s="40" t="n">
        <x:f>IF(AND(ISNUMBER(B77),ISNUMBER(B78)),IF(B78=0,"無法計算",B77/B78),"缺少資料")</x:f>
        <x:v>1.6176250057333774</x:v>
      </x:c>
      <x:c r="C41" s="39"/>
      <x:c r="D41" s="39"/>
      <x:c r="E41" s="26" t="str">
        <x:v>calculated</x:v>
      </x:c>
      <x:c r="F41" s="29" t="str">
        <x:v>Current Assets / Current Liabilities</x:v>
      </x:c>
      <x:c r="G41" s="29" t="str"/>
    </x:row>
    <x:row r="42" ht="30" customHeight="1">
      <x:c r="A42" s="26" t="str">
        <x:v>current_ratio:latest_fy_end</x:v>
      </x:c>
      <x:c r="B42" s="40" t="n">
        <x:f>IF(AND(ISNUMBER(B84),ISNUMBER(B85)),IF(B85=0,"無法計算",B84/B85),"缺少資料")</x:f>
        <x:v>1.85774982709192</x:v>
      </x:c>
      <x:c r="C42" s="39"/>
      <x:c r="D42" s="39"/>
      <x:c r="E42" s="26" t="str">
        <x:v>calculated</x:v>
      </x:c>
      <x:c r="F42" s="29" t="str">
        <x:v>Current Assets / Current Liabilities</x:v>
      </x:c>
      <x:c r="G42" s="29" t="str"/>
    </x:row>
    <x:row r="43" ht="30" customHeight="1">
      <x:c r="A43" s="26" t="str">
        <x:v>current_ratio:current_interim</x:v>
      </x:c>
      <x:c r="B43" s="40" t="n">
        <x:f>IF(AND(ISNUMBER(B91),ISNUMBER(B92)),IF(B92=0,"無法計算",B91/B92),"缺少資料")</x:f>
        <x:v>1.7788237403622016</x:v>
      </x:c>
      <x:c r="C43" s="39"/>
      <x:c r="D43" s="39"/>
      <x:c r="E43" s="26" t="str">
        <x:v>calculated</x:v>
      </x:c>
      <x:c r="F43" s="29" t="str">
        <x:v>Current Assets / Current Liabilities</x:v>
      </x:c>
      <x:c r="G43" s="29" t="str"/>
    </x:row>
    <x:row r="44" ht="30" customHeight="1">
      <x:c r="A44" s="26" t="str">
        <x:v>quick_ratio:earlier_fy_end</x:v>
      </x:c>
      <x:c r="B44" s="40" t="n">
        <x:f>IF(AND(ISNUMBER(B72),ISNUMBER(B71)),IF(B71=0,"無法計算",B72/B71),"缺少資料")</x:f>
        <x:v>3.571851954556877</x:v>
      </x:c>
      <x:c r="C44" s="39"/>
      <x:c r="D44" s="39"/>
      <x:c r="E44" s="26" t="str">
        <x:v>calculated</x:v>
      </x:c>
      <x:c r="F44" s="29" t="str">
        <x:v>Quick Assets / Current Liabilities</x:v>
      </x:c>
      <x:c r="G44" s="29" t="str"/>
    </x:row>
    <x:row r="45" ht="30" customHeight="1">
      <x:c r="A45" s="26" t="str">
        <x:v>quick_ratio:prior_interim</x:v>
      </x:c>
      <x:c r="B45" s="40" t="n">
        <x:f>IF(AND(ISNUMBER(B79),ISNUMBER(B78)),IF(B78=0,"無法計算",B79/B78),"缺少資料")</x:f>
        <x:v>1.1509647765431235</x:v>
      </x:c>
      <x:c r="C45" s="39"/>
      <x:c r="D45" s="39"/>
      <x:c r="E45" s="26" t="str">
        <x:v>calculated</x:v>
      </x:c>
      <x:c r="F45" s="29" t="str">
        <x:v>Quick Assets / Current Liabilities</x:v>
      </x:c>
      <x:c r="G45" s="29" t="str"/>
    </x:row>
    <x:row r="46" ht="30" customHeight="1">
      <x:c r="A46" s="26" t="str">
        <x:v>quick_ratio:latest_fy_end</x:v>
      </x:c>
      <x:c r="B46" s="40" t="n">
        <x:f>IF(AND(ISNUMBER(B86),ISNUMBER(B85)),IF(B85=0,"無法計算",B86/B85),"缺少資料")</x:f>
        <x:v>1.4593602467936755</x:v>
      </x:c>
      <x:c r="C46" s="39"/>
      <x:c r="D46" s="39"/>
      <x:c r="E46" s="26" t="str">
        <x:v>calculated</x:v>
      </x:c>
      <x:c r="F46" s="29" t="str">
        <x:v>Quick Assets / Current Liabilities</x:v>
      </x:c>
      <x:c r="G46" s="29" t="str"/>
    </x:row>
    <x:row r="47" ht="30" customHeight="1">
      <x:c r="A47" s="26" t="str">
        <x:v>quick_ratio:current_interim</x:v>
      </x:c>
      <x:c r="B47" s="40" t="n">
        <x:f>IF(AND(ISNUMBER(B93),ISNUMBER(B92)),IF(B92=0,"無法計算",B93/B92),"缺少資料")</x:f>
        <x:v>1.3809844002151692</x:v>
      </x:c>
      <x:c r="C47" s="39"/>
      <x:c r="D47" s="39"/>
      <x:c r="E47" s="26" t="str">
        <x:v>calculated</x:v>
      </x:c>
      <x:c r="F47" s="29" t="str">
        <x:v>Quick Assets / Current Liabilities</x:v>
      </x:c>
      <x:c r="G47" s="29" t="str"/>
    </x:row>
    <x:row r="48" ht="30" customHeight="1">
      <x:c r="A48" s="26" t="str">
        <x:v>debt_ratio:earlier_fy_end</x:v>
      </x:c>
      <x:c r="B48" s="40" t="n">
        <x:f>IF(AND(ISNUMBER(B74),ISNUMBER(B73)),IF(B73=0,"無法計算",B74/B73),"缺少資料")</x:f>
        <x:v>1.9342874856244487</x:v>
      </x:c>
      <x:c r="C48" s="39"/>
      <x:c r="D48" s="39"/>
      <x:c r="E48" s="26" t="str">
        <x:v>calculated</x:v>
      </x:c>
      <x:c r="F48" s="29" t="str">
        <x:v>Total Liabilities / Net Worth</x:v>
      </x:c>
      <x:c r="G48" s="29" t="str"/>
    </x:row>
    <x:row r="49" ht="30" customHeight="1">
      <x:c r="A49" s="26" t="str">
        <x:v>debt_ratio:prior_interim</x:v>
      </x:c>
      <x:c r="B49" s="40" t="n">
        <x:f>IF(AND(ISNUMBER(B81),ISNUMBER(B80)),IF(B80=0,"無法計算",B81/B80),"缺少資料")</x:f>
        <x:v>1.9528011182942613</x:v>
      </x:c>
      <x:c r="C49" s="39"/>
      <x:c r="D49" s="39"/>
      <x:c r="E49" s="26" t="str">
        <x:v>calculated</x:v>
      </x:c>
      <x:c r="F49" s="29" t="str">
        <x:v>Total Liabilities / Net Worth</x:v>
      </x:c>
      <x:c r="G49" s="29" t="str"/>
    </x:row>
    <x:row r="50" ht="30" customHeight="1">
      <x:c r="A50" s="26" t="str">
        <x:v>debt_ratio:latest_fy_end</x:v>
      </x:c>
      <x:c r="B50" s="40" t="n">
        <x:f>IF(AND(ISNUMBER(B88),ISNUMBER(B87)),IF(B87=0,"無法計算",B88/B87),"缺少資料")</x:f>
        <x:v>1.699806232783709</x:v>
      </x:c>
      <x:c r="C50" s="39"/>
      <x:c r="D50" s="39"/>
      <x:c r="E50" s="26" t="str">
        <x:v>calculated</x:v>
      </x:c>
      <x:c r="F50" s="29" t="str">
        <x:v>Total Liabilities / Net Worth</x:v>
      </x:c>
      <x:c r="G50" s="29" t="str"/>
    </x:row>
    <x:row r="51" ht="30" customHeight="1">
      <x:c r="A51" s="26" t="str">
        <x:v>debt_ratio:current_interim</x:v>
      </x:c>
      <x:c r="B51" s="40" t="n">
        <x:f>IF(AND(ISNUMBER(B95),ISNUMBER(B94)),IF(B94=0,"無法計算",B95/B94),"缺少資料")</x:f>
        <x:v>1.3077035216694088</x:v>
      </x:c>
      <x:c r="C51" s="39"/>
      <x:c r="D51" s="39"/>
      <x:c r="E51" s="26" t="str">
        <x:v>calculated</x:v>
      </x:c>
      <x:c r="F51" s="29" t="str">
        <x:v>Total Liabilities / Net Worth</x:v>
      </x:c>
      <x:c r="G51" s="29" t="str"/>
    </x:row>
    <x:row r="52" ht="42" customHeight="1">
      <x:c r="A52" s="26" t="str">
        <x:v>total_debt:earlier_fy_end</x:v>
      </x:c>
      <x:c r="B52" s="38" t="n">
        <x:f>IF(AND(ISNUMBER(C52),ISNUMBER(D52)),C52*D52/1000000,"缺少資料")</x:f>
        <x:v>6196.509</x:v>
      </x:c>
      <x:c r="C52" s="39" t="n">
        <x:v>6196509000</x:v>
      </x:c>
      <x:c r="D52" s="39" t="n">
        <x:v>1</x:v>
      </x:c>
      <x:c r="E52" s="26" t="str">
        <x:v>sourced</x:v>
      </x:c>
      <x:c r="F52" s="29" t="str">
        <x:v>Consolidated interest-bearing borrowings, bonds and finance lease liabilities, including current portions once; exclude operating lease liabilities and trade payables</x:v>
      </x:c>
      <x:c r="G52" s="29" t="str">
        <x:v>Gross debt principal BEFORE issuance costs, PLUS finance lease liabilities; exclude operating leases, add current portions only once</x:v>
      </x:c>
    </x:row>
    <x:row r="53" ht="30" customHeight="1">
      <x:c r="A53" s="26" t="str">
        <x:v>total_debt:prior_interim</x:v>
      </x:c>
      <x:c r="B53" s="38" t="str">
        <x:v>缺少資料</x:v>
      </x:c>
      <x:c r="C53" s="39"/>
      <x:c r="D53" s="39"/>
      <x:c r="E53" s="26" t="str">
        <x:v>缺少資料</x:v>
      </x:c>
      <x:c r="F53" s="29" t="str">
        <x:v>No matching source in the reviewed inputs; not a claim of non-disclosure</x:v>
      </x:c>
      <x:c r="G53" s="29" t="str"/>
    </x:row>
    <x:row r="54" ht="42" customHeight="1">
      <x:c r="A54" s="26" t="str">
        <x:v>total_debt:latest_fy_end</x:v>
      </x:c>
      <x:c r="B54" s="38" t="n">
        <x:f>IF(AND(ISNUMBER(C54),ISNUMBER(D54)),C54*D54/1000000,"缺少資料")</x:f>
        <x:v>5414.379</x:v>
      </x:c>
      <x:c r="C54" s="39" t="n">
        <x:v>5414379000</x:v>
      </x:c>
      <x:c r="D54" s="39" t="n">
        <x:v>1</x:v>
      </x:c>
      <x:c r="E54" s="26" t="str">
        <x:v>sourced</x:v>
      </x:c>
      <x:c r="F54" s="29" t="str">
        <x:v>Consolidated interest-bearing borrowings, bonds and finance lease liabilities, including current portions once; exclude operating lease liabilities and trade payables</x:v>
      </x:c>
      <x:c r="G54" s="29" t="str">
        <x:v>Gross debt principal BEFORE issuance costs, PLUS finance lease liabilities; exclude operating leases, add current portions only once</x:v>
      </x:c>
    </x:row>
    <x:row r="55" ht="30" customHeight="1">
      <x:c r="A55" s="26" t="str">
        <x:v>total_debt:current_interim</x:v>
      </x:c>
      <x:c r="B55" s="38" t="str">
        <x:v>缺少資料</x:v>
      </x:c>
      <x:c r="C55" s="39"/>
      <x:c r="D55" s="39"/>
      <x:c r="E55" s="26" t="str">
        <x:v>缺少資料</x:v>
      </x:c>
      <x:c r="F55" s="29" t="str">
        <x:v>No matching source in the reviewed inputs; not a claim of non-disclosure</x:v>
      </x:c>
      <x:c r="G55" s="29" t="str"/>
    </x:row>
    <x:row r="56" ht="30" customHeight="1">
      <x:c r="A56" s="26" t="str">
        <x:v>ltm_ebitda:earlier_fy_end</x:v>
      </x:c>
      <x:c r="B56" s="38" t="n">
        <x:f>IF(AND(ISNUMBER(C56),ISNUMBER(D56)),C56*D56/1000000,"缺少資料")</x:f>
        <x:v>1473.155</x:v>
      </x:c>
      <x:c r="C56" s="39" t="n">
        <x:v>1473155000</x:v>
      </x:c>
      <x:c r="D56" s="39" t="n">
        <x:v>1</x:v>
      </x:c>
      <x:c r="E56" s="26" t="str">
        <x:v>sourced</x:v>
      </x:c>
      <x:c r="F56" s="29" t="str">
        <x:v>Standard EBITDA: Net Income + Interest + Taxes + D&amp;A</x:v>
      </x:c>
      <x:c r="G56" s="29" t="str">
        <x:v>SEC original exact-interval XBRL and reviewed statement; original precision retained, later rounded comparative not treated as restatement</x:v>
      </x:c>
    </x:row>
    <x:row r="57" ht="30" customHeight="1">
      <x:c r="A57" s="26" t="str">
        <x:v>ltm_ebitda:prior_interim</x:v>
      </x:c>
      <x:c r="B57" s="38" t="n">
        <x:f>IF(AND(ISNUMBER(C57),ISNUMBER(D57)),C57*D57/1000000,"缺少資料")</x:f>
        <x:v>475.79</x:v>
      </x:c>
      <x:c r="C57" s="39" t="n">
        <x:v>475790000</x:v>
      </x:c>
      <x:c r="D57" s="39" t="n">
        <x:v>1</x:v>
      </x:c>
      <x:c r="E57" s="26" t="str">
        <x:v>sourced</x:v>
      </x:c>
      <x:c r="F57" s="29" t="str">
        <x:v>Standard EBITDA: Net Income + Interest + Taxes + D&amp;A</x:v>
      </x:c>
      <x:c r="G57" s="29" t="str">
        <x:v>SEC original exact-interval XBRL and reviewed statement; original precision retained, later rounded comparative not treated as restatement</x:v>
      </x:c>
    </x:row>
    <x:row r="58" ht="30" customHeight="1">
      <x:c r="A58" s="26" t="str">
        <x:v>ltm_ebitda:latest_fy_end</x:v>
      </x:c>
      <x:c r="B58" s="38" t="n">
        <x:f>IF(AND(ISNUMBER(C58),ISNUMBER(D58)),C58*D58/1000000,"缺少資料")</x:f>
        <x:v>348.557</x:v>
      </x:c>
      <x:c r="C58" s="39" t="n">
        <x:v>348557000</x:v>
      </x:c>
      <x:c r="D58" s="39" t="n">
        <x:v>1</x:v>
      </x:c>
      <x:c r="E58" s="26" t="str">
        <x:v>sourced</x:v>
      </x:c>
      <x:c r="F58" s="29" t="str">
        <x:v>Standard EBITDA: Net Income + Interest + Taxes + D&amp;A</x:v>
      </x:c>
      <x:c r="G58" s="29" t="str">
        <x:v>SEC original exact-interval XBRL and reviewed statement; original precision retained, later rounded comparative not treated as restatement</x:v>
      </x:c>
    </x:row>
    <x:row r="59" ht="30" customHeight="1">
      <x:c r="A59" s="26" t="str">
        <x:v>ltm_ebitda:current_interim</x:v>
      </x:c>
      <x:c r="B59" s="38" t="n">
        <x:f>IF(AND(ISNUMBER(C59),ISNUMBER(D59)),C59*D59/1000000,"缺少資料")</x:f>
        <x:v>1704.099</x:v>
      </x:c>
      <x:c r="C59" s="39" t="n">
        <x:v>1704099000</x:v>
      </x:c>
      <x:c r="D59" s="39" t="n">
        <x:v>1</x:v>
      </x:c>
      <x:c r="E59" s="26" t="str">
        <x:v>sourced</x:v>
      </x:c>
      <x:c r="F59" s="29" t="str">
        <x:v>Standard EBITDA: Net Income + Interest + Taxes + D&amp;A</x:v>
      </x:c>
      <x:c r="G59" s="29" t="str">
        <x:v>SEC original exact-interval XBRL and reviewed statement; original precision retained, later rounded comparative not treated as restatement</x:v>
      </x:c>
    </x:row>
    <x:row r="60" ht="30" customHeight="1">
      <x:c r="A60" s="26" t="str">
        <x:v>ebitda_basis:earlier_fy_end</x:v>
      </x:c>
      <x:c r="B60" s="38" t="str">
        <x:v>Standard EBITDA: Net Income + Interest + Taxes + D&amp;A</x:v>
      </x:c>
      <x:c r="C60" s="39" t="str">
        <x:v>Standard EBITDA: Net Income + Interest + Taxes + D&amp;A</x:v>
      </x:c>
      <x:c r="D60" s="39"/>
      <x:c r="E60" s="26" t="str">
        <x:v>sourced</x:v>
      </x:c>
      <x:c r="F60" s="29" t="str">
        <x:v>Source and actual EBITDA definition, including adjustments</x:v>
      </x:c>
      <x:c r="G60" s="29" t="str">
        <x:v>SEC original exact-interval XBRL and reviewed statement; original precision retained, later rounded comparative not treated as restatement</x:v>
      </x:c>
    </x:row>
    <x:row r="61" ht="30" customHeight="1">
      <x:c r="A61" s="26" t="str">
        <x:v>ebitda_basis:prior_interim</x:v>
      </x:c>
      <x:c r="B61" s="38" t="str">
        <x:v>Standard EBITDA: Net Income + Interest + Taxes + D&amp;A</x:v>
      </x:c>
      <x:c r="C61" s="39" t="str">
        <x:v>Standard EBITDA: Net Income + Interest + Taxes + D&amp;A</x:v>
      </x:c>
      <x:c r="D61" s="39"/>
      <x:c r="E61" s="26" t="str">
        <x:v>sourced</x:v>
      </x:c>
      <x:c r="F61" s="29" t="str">
        <x:v>Source and actual EBITDA definition, including adjustments</x:v>
      </x:c>
      <x:c r="G61" s="29" t="str">
        <x:v>SEC original exact-interval XBRL and reviewed statement; original precision retained, later rounded comparative not treated as restatement</x:v>
      </x:c>
    </x:row>
    <x:row r="62" ht="30" customHeight="1">
      <x:c r="A62" s="26" t="str">
        <x:v>ebitda_basis:latest_fy_end</x:v>
      </x:c>
      <x:c r="B62" s="38" t="str">
        <x:v>Standard EBITDA: Net Income + Interest + Taxes + D&amp;A</x:v>
      </x:c>
      <x:c r="C62" s="39" t="str">
        <x:v>Standard EBITDA: Net Income + Interest + Taxes + D&amp;A</x:v>
      </x:c>
      <x:c r="D62" s="39"/>
      <x:c r="E62" s="26" t="str">
        <x:v>sourced</x:v>
      </x:c>
      <x:c r="F62" s="29" t="str">
        <x:v>Source and actual EBITDA definition, including adjustments</x:v>
      </x:c>
      <x:c r="G62" s="29" t="str">
        <x:v>SEC original exact-interval XBRL and reviewed statement; original precision retained, later rounded comparative not treated as restatement</x:v>
      </x:c>
    </x:row>
    <x:row r="63" ht="30" customHeight="1">
      <x:c r="A63" s="26" t="str">
        <x:v>ebitda_basis:current_interim</x:v>
      </x:c>
      <x:c r="B63" s="38" t="str">
        <x:v>Standard EBITDA: Net Income + Interest + Taxes + D&amp;A</x:v>
      </x:c>
      <x:c r="C63" s="39" t="str">
        <x:v>Standard EBITDA: Net Income + Interest + Taxes + D&amp;A</x:v>
      </x:c>
      <x:c r="D63" s="39"/>
      <x:c r="E63" s="26" t="str">
        <x:v>sourced</x:v>
      </x:c>
      <x:c r="F63" s="29" t="str">
        <x:v>Source and actual EBITDA definition, including adjustments</x:v>
      </x:c>
      <x:c r="G63" s="29" t="str">
        <x:v>SEC original exact-interval XBRL and reviewed statement; original precision retained, later rounded comparative not treated as restatement</x:v>
      </x:c>
    </x:row>
    <x:row r="64" ht="30" customHeight="1">
      <x:c r="A64" s="26" t="str">
        <x:v>total_leverage:earlier_fy_end</x:v>
      </x:c>
      <x:c r="B64" s="41" t="n">
        <x:f>IF(AND(ISNUMBER(B52),ISNUMBER(B56)),IF(B56=0,"無法計算",B52/B56),"缺少資料")</x:f>
        <x:v>4.20628447108417</x:v>
      </x:c>
      <x:c r="C64" s="39"/>
      <x:c r="D64" s="39"/>
      <x:c r="E64" s="26" t="str">
        <x:v>calculated</x:v>
      </x:c>
      <x:c r="F64" s="29" t="str">
        <x:v>Total debt / applicable LTM EBITDA</x:v>
      </x:c>
      <x:c r="G64" s="29" t="str"/>
    </x:row>
    <x:row r="65" ht="30" customHeight="1">
      <x:c r="A65" s="26" t="str">
        <x:v>total_leverage:prior_interim</x:v>
      </x:c>
      <x:c r="B65" s="41" t="str">
        <x:v>無法計算／待確認</x:v>
      </x:c>
      <x:c r="C65" s="39"/>
      <x:c r="D65" s="39"/>
      <x:c r="E65" s="26" t="str">
        <x:v>無法計算／待確認</x:v>
      </x:c>
      <x:c r="F65" s="29" t="str">
        <x:v>Required inputs unavailable</x:v>
      </x:c>
      <x:c r="G65" s="29" t="str"/>
    </x:row>
    <x:row r="66" ht="30" customHeight="1">
      <x:c r="A66" s="26" t="str">
        <x:v>total_leverage:latest_fy_end</x:v>
      </x:c>
      <x:c r="B66" s="41" t="n">
        <x:f>IF(AND(ISNUMBER(B54),ISNUMBER(B58)),IF(B58=0,"無法計算",B54/B58),"缺少資料")</x:f>
        <x:v>15.533697501412968</x:v>
      </x:c>
      <x:c r="C66" s="39"/>
      <x:c r="D66" s="39"/>
      <x:c r="E66" s="26" t="str">
        <x:v>calculated</x:v>
      </x:c>
      <x:c r="F66" s="29" t="str">
        <x:v>Total debt / applicable LTM EBITDA</x:v>
      </x:c>
      <x:c r="G66" s="29" t="str"/>
    </x:row>
    <x:row r="67" ht="30" customHeight="1">
      <x:c r="A67" s="26" t="str">
        <x:v>total_leverage:current_interim</x:v>
      </x:c>
      <x:c r="B67" s="41" t="str">
        <x:v>無法計算／待確認</x:v>
      </x:c>
      <x:c r="C67" s="39"/>
      <x:c r="D67" s="39"/>
      <x:c r="E67" s="26" t="str">
        <x:v>無法計算／待確認</x:v>
      </x:c>
      <x:c r="F67" s="29" t="str">
        <x:v>Required inputs unavailable</x:v>
      </x:c>
      <x:c r="G67" s="29" t="str"/>
    </x:row>
    <x:row r="68" ht="30" customHeight="1">
      <x:c r="A68" s="26" t="str">
        <x:v>input:capitalized_interest:earlier_fy_end</x:v>
      </x:c>
      <x:c r="B68" s="38" t="str">
        <x:v>缺少資料</x:v>
      </x:c>
      <x:c r="C68" s="39"/>
      <x:c r="D68" s="39"/>
      <x:c r="E68" s="26" t="str">
        <x:v>缺少資料</x:v>
      </x:c>
      <x:c r="F68" s="29" t="str">
        <x:v>No matching source in the reviewed inputs; not a claim of non-disclosure</x:v>
      </x:c>
      <x:c r="G68" s="29" t="str"/>
    </x:row>
    <x:row r="69" ht="42" customHeight="1">
      <x:c r="A69" s="26" t="str">
        <x:v>input:da:earlier_fy_end</x:v>
      </x:c>
      <x:c r="B69" s="38" t="n">
        <x:f>IF(AND(ISNUMBER(C69),ISNUMBER(D69)),C69*D69/1000000,"缺少資料")</x:f>
        <x:v>660.067</x:v>
      </x:c>
      <x:c r="C69" s="39" t="n">
        <x:v>660067000</x:v>
      </x:c>
      <x:c r="D69" s="39" t="n">
        <x:v>1</x:v>
      </x:c>
      <x:c r="E69" s="26" t="str">
        <x:v>sourced</x:v>
      </x:c>
      <x:c r="F69" s="29" t="str">
        <x:v>Verified source Depreciation &amp; Amortization</x:v>
      </x:c>
      <x:c r="G69" s="29" t="str">
        <x:v>Cash flow statement: exact depreciation PLUS intangible asset amortization; rounded PP&amp;E D&amp;A tag excluded; lease asset amortization already included, not added again</x:v>
      </x:c>
    </x:row>
    <x:row r="70" ht="30" customHeight="1">
      <x:c r="A70" s="26" t="str">
        <x:v>input:current_assets:earlier_fy_end</x:v>
      </x:c>
      <x:c r="B70" s="38" t="n">
        <x:f>IF(AND(ISNUMBER(C70),ISNUMBER(D70)),C70*D70/1000000,"缺少資料")</x:f>
        <x:v>4629.028</x:v>
      </x:c>
      <x:c r="C70" s="39" t="n">
        <x:v>4629028000</x:v>
      </x:c>
      <x:c r="D70" s="39" t="n">
        <x:v>1</x:v>
      </x:c>
      <x:c r="E70" s="26" t="str">
        <x:v>sourced</x:v>
      </x:c>
      <x:c r="F70" s="29" t="str">
        <x:v>Verified source Current Assets</x:v>
      </x:c>
      <x:c r="G70" s="29" t="str">
        <x:v>SEC original exact-interval XBRL and reviewed statement; original precision retained, later rounded comparative not treated as restatement</x:v>
      </x:c>
    </x:row>
    <x:row r="71" ht="30" customHeight="1">
      <x:c r="A71" s="26" t="str">
        <x:v>input:current_liabilities:earlier_fy_end</x:v>
      </x:c>
      <x:c r="B71" s="38" t="n">
        <x:f>IF(AND(ISNUMBER(C71),ISNUMBER(D71)),C71*D71/1000000,"缺少資料")</x:f>
        <x:v>1038.573</x:v>
      </x:c>
      <x:c r="C71" s="39" t="n">
        <x:v>1038573000</x:v>
      </x:c>
      <x:c r="D71" s="39" t="n">
        <x:v>1</x:v>
      </x:c>
      <x:c r="E71" s="26" t="str">
        <x:v>sourced</x:v>
      </x:c>
      <x:c r="F71" s="29" t="str">
        <x:v>Verified source Current Liabilities</x:v>
      </x:c>
      <x:c r="G71" s="29" t="str">
        <x:v>SEC original exact-interval XBRL and reviewed statement; original precision retained, later rounded comparative not treated as restatement</x:v>
      </x:c>
    </x:row>
    <x:row r="72" ht="42" customHeight="1">
      <x:c r="A72" s="26" t="str">
        <x:v>input:quick_assets:earlier_fy_end</x:v>
      </x:c>
      <x:c r="B72" s="38" t="n">
        <x:f>IF(AND(ISNUMBER(C72),ISNUMBER(D72)),C72*D72/1000000,"缺少資料")</x:f>
        <x:v>3709.629</x:v>
      </x:c>
      <x:c r="C72" s="39" t="n">
        <x:v>3709629000</x:v>
      </x:c>
      <x:c r="D72" s="39" t="n">
        <x:v>1</x:v>
      </x:c>
      <x:c r="E72" s="26" t="str">
        <x:v>sourced</x:v>
      </x:c>
      <x:c r="F72" s="29" t="str">
        <x:v>Verified source Quick Assets</x:v>
      </x:c>
      <x:c r="G72" s="29" t="str">
        <x:v>Cash + current time-deposit investments + NET trade receivables; no duplicated securities included in cash; exclude inventory/prepaids/other current assets</x:v>
      </x:c>
    </x:row>
    <x:row r="73" ht="30" customHeight="1">
      <x:c r="A73" s="26" t="str">
        <x:v>input:net_worth:earlier_fy_end</x:v>
      </x:c>
      <x:c r="B73" s="38" t="n">
        <x:f>IF(AND(ISNUMBER(C73),ISNUMBER(D73)),C73*D73/1000000,"缺少資料")</x:f>
        <x:v>4093.756</x:v>
      </x:c>
      <x:c r="C73" s="39" t="n">
        <x:v>4093756000</x:v>
      </x:c>
      <x:c r="D73" s="39" t="n">
        <x:v>1</x:v>
      </x:c>
      <x:c r="E73" s="26" t="str">
        <x:v>sourced</x:v>
      </x:c>
      <x:c r="F73" s="29" t="str">
        <x:v>Verified source Net Worth</x:v>
      </x:c>
      <x:c r="G73" s="29" t="str">
        <x:v>Balance sheet complete consolidated shareholders equity; no separate NCI equity presented</x:v>
      </x:c>
    </x:row>
    <x:row r="74" ht="30" customHeight="1">
      <x:c r="A74" s="26" t="str">
        <x:v>input:total_liabilities:earlier_fy_end</x:v>
      </x:c>
      <x:c r="B74" s="38" t="n">
        <x:f>IF(AND(ISNUMBER(C74),ISNUMBER(D74)),C74*D74/1000000,"缺少資料")</x:f>
        <x:v>7918.501</x:v>
      </x:c>
      <x:c r="C74" s="39" t="n">
        <x:v>7918501000</x:v>
      </x:c>
      <x:c r="D74" s="39" t="n">
        <x:v>1</x:v>
      </x:c>
      <x:c r="E74" s="26" t="str">
        <x:v>sourced</x:v>
      </x:c>
      <x:c r="F74" s="29" t="str">
        <x:v>Verified source Total Liabilities</x:v>
      </x:c>
      <x:c r="G74" s="29" t="str">
        <x:v>Sum all face-statement current/noncurrent liability subtotals, independently checked against Assets - total equity</x:v>
      </x:c>
    </x:row>
    <x:row r="75" ht="30" customHeight="1">
      <x:c r="A75" s="26" t="str">
        <x:v>input:capitalized_interest:prior_interim</x:v>
      </x:c>
      <x:c r="B75" s="38" t="str">
        <x:v>缺少資料</x:v>
      </x:c>
      <x:c r="C75" s="39"/>
      <x:c r="D75" s="39"/>
      <x:c r="E75" s="26" t="str">
        <x:v>缺少資料</x:v>
      </x:c>
      <x:c r="F75" s="29" t="str">
        <x:v>No matching source in the reviewed inputs; not a claim of non-disclosure</x:v>
      </x:c>
      <x:c r="G75" s="29" t="str"/>
    </x:row>
    <x:row r="76" ht="30" customHeight="1">
      <x:c r="A76" s="26" t="str">
        <x:v>input:da:prior_interim</x:v>
      </x:c>
      <x:c r="B76" s="38" t="str">
        <x:v>缺少資料</x:v>
      </x:c>
      <x:c r="C76" s="39"/>
      <x:c r="D76" s="39"/>
      <x:c r="E76" s="26" t="str">
        <x:v>缺少資料</x:v>
      </x:c>
      <x:c r="F76" s="29" t="str">
        <x:v>No matching source in the reviewed inputs; not a claim of non-disclosure</x:v>
      </x:c>
      <x:c r="G76" s="29" t="str"/>
    </x:row>
    <x:row r="77" ht="30" customHeight="1">
      <x:c r="A77" s="26" t="str">
        <x:v>input:current_assets:prior_interim</x:v>
      </x:c>
      <x:c r="B77" s="38" t="n">
        <x:f>IF(AND(ISNUMBER(C77),ISNUMBER(D77)),C77*D77/1000000,"缺少資料")</x:f>
        <x:v>3350.433</x:v>
      </x:c>
      <x:c r="C77" s="39" t="n">
        <x:v>3350433000</x:v>
      </x:c>
      <x:c r="D77" s="39" t="n">
        <x:v>1</x:v>
      </x:c>
      <x:c r="E77" s="26" t="str">
        <x:v>sourced</x:v>
      </x:c>
      <x:c r="F77" s="29" t="str">
        <x:v>Verified source Current Assets</x:v>
      </x:c>
      <x:c r="G77" s="29" t="str">
        <x:v>SEC original exact-interval XBRL and reviewed statement; original precision retained, later rounded comparative not treated as restatement</x:v>
      </x:c>
    </x:row>
    <x:row r="78" ht="30" customHeight="1">
      <x:c r="A78" s="26" t="str">
        <x:v>input:current_liabilities:prior_interim</x:v>
      </x:c>
      <x:c r="B78" s="38" t="n">
        <x:f>IF(AND(ISNUMBER(C78),ISNUMBER(D78)),C78*D78/1000000,"缺少資料")</x:f>
        <x:v>2071.205</x:v>
      </x:c>
      <x:c r="C78" s="39" t="n">
        <x:v>2071205000</x:v>
      </x:c>
      <x:c r="D78" s="39" t="n">
        <x:v>1</x:v>
      </x:c>
      <x:c r="E78" s="26" t="str">
        <x:v>sourced</x:v>
      </x:c>
      <x:c r="F78" s="29" t="str">
        <x:v>Verified source Current Liabilities</x:v>
      </x:c>
      <x:c r="G78" s="29" t="str">
        <x:v>SEC original exact-interval XBRL and reviewed statement; original precision retained, later rounded comparative not treated as restatement</x:v>
      </x:c>
    </x:row>
    <x:row r="79" ht="30" customHeight="1">
      <x:c r="A79" s="26" t="str">
        <x:v>input:quick_assets:prior_interim</x:v>
      </x:c>
      <x:c r="B79" s="38" t="n">
        <x:f>IF(AND(ISNUMBER(C79),ISNUMBER(D79)),C79*D79/1000000,"缺少資料")</x:f>
        <x:v>2383.884</x:v>
      </x:c>
      <x:c r="C79" s="39" t="n">
        <x:v>2383884000</x:v>
      </x:c>
      <x:c r="D79" s="39" t="n">
        <x:v>1</x:v>
      </x:c>
      <x:c r="E79" s="26" t="str">
        <x:v>sourced</x:v>
      </x:c>
      <x:c r="F79" s="29" t="str">
        <x:v>Verified source Quick Assets</x:v>
      </x:c>
      <x:c r="G79" s="29" t="str">
        <x:v>SEC original exact-interval XBRL and reviewed statement; original precision retained, later rounded comparative not treated as restatement</x:v>
      </x:c>
    </x:row>
    <x:row r="80" ht="30" customHeight="1">
      <x:c r="A80" s="26" t="str">
        <x:v>input:net_worth:prior_interim</x:v>
      </x:c>
      <x:c r="B80" s="38" t="n">
        <x:f>IF(AND(ISNUMBER(C80),ISNUMBER(D80)),C80*D80/1000000,"缺少資料")</x:f>
        <x:v>3706.359</x:v>
      </x:c>
      <x:c r="C80" s="39" t="n">
        <x:v>3706359000</x:v>
      </x:c>
      <x:c r="D80" s="39" t="n">
        <x:v>1</x:v>
      </x:c>
      <x:c r="E80" s="26" t="str">
        <x:v>sourced</x:v>
      </x:c>
      <x:c r="F80" s="29" t="str">
        <x:v>Verified source Net Worth</x:v>
      </x:c>
      <x:c r="G80" s="29" t="str">
        <x:v>SEC original exact-interval XBRL and reviewed statement; original precision retained, later rounded comparative not treated as restatement</x:v>
      </x:c>
    </x:row>
    <x:row r="81" ht="30" customHeight="1">
      <x:c r="A81" s="26" t="str">
        <x:v>input:total_liabilities:prior_interim</x:v>
      </x:c>
      <x:c r="B81" s="38" t="n">
        <x:f>IF(AND(ISNUMBER(C81),ISNUMBER(D81)),C81*D81/1000000,"缺少資料")</x:f>
        <x:v>7237.782</x:v>
      </x:c>
      <x:c r="C81" s="39" t="n">
        <x:v>7237782000</x:v>
      </x:c>
      <x:c r="D81" s="39" t="n">
        <x:v>1</x:v>
      </x:c>
      <x:c r="E81" s="26" t="str">
        <x:v>sourced</x:v>
      </x:c>
      <x:c r="F81" s="29" t="str">
        <x:v>Verified source Total Liabilities</x:v>
      </x:c>
      <x:c r="G81" s="29" t="str">
        <x:v>SEC original exact-interval XBRL and reviewed statement; original precision retained, later rounded comparative not treated as restatement</x:v>
      </x:c>
    </x:row>
    <x:row r="82" ht="30" customHeight="1">
      <x:c r="A82" s="26" t="str">
        <x:v>input:capitalized_interest:latest_fy_end</x:v>
      </x:c>
      <x:c r="B82" s="38" t="str">
        <x:v>缺少資料</x:v>
      </x:c>
      <x:c r="C82" s="39"/>
      <x:c r="D82" s="39"/>
      <x:c r="E82" s="26" t="str">
        <x:v>缺少資料</x:v>
      </x:c>
      <x:c r="F82" s="29" t="str">
        <x:v>No matching source in the reviewed inputs; not a claim of non-disclosure</x:v>
      </x:c>
      <x:c r="G82" s="29" t="str"/>
    </x:row>
    <x:row r="83" ht="42" customHeight="1">
      <x:c r="A83" s="26" t="str">
        <x:v>input:da:latest_fy_end</x:v>
      </x:c>
      <x:c r="B83" s="38" t="n">
        <x:f>IF(AND(ISNUMBER(C83),ISNUMBER(D83)),C83*D83/1000000,"缺少資料")</x:f>
        <x:v>696.297</x:v>
      </x:c>
      <x:c r="C83" s="39" t="n">
        <x:v>696297000</x:v>
      </x:c>
      <x:c r="D83" s="39" t="n">
        <x:v>1</x:v>
      </x:c>
      <x:c r="E83" s="26" t="str">
        <x:v>sourced</x:v>
      </x:c>
      <x:c r="F83" s="29" t="str">
        <x:v>Verified source Depreciation &amp; Amortization</x:v>
      </x:c>
      <x:c r="G83" s="29" t="str">
        <x:v>Cash flow statement: exact depreciation PLUS intangible asset amortization; rounded PP&amp;E D&amp;A tag excluded; lease asset amortization already included, not added again</x:v>
      </x:c>
    </x:row>
    <x:row r="84" ht="30" customHeight="1">
      <x:c r="A84" s="26" t="str">
        <x:v>input:current_assets:latest_fy_end</x:v>
      </x:c>
      <x:c r="B84" s="38" t="n">
        <x:f>IF(AND(ISNUMBER(C84),ISNUMBER(D84)),C84*D84/1000000,"缺少資料")</x:f>
        <x:v>4166.043</x:v>
      </x:c>
      <x:c r="C84" s="39" t="n">
        <x:v>4166043000</x:v>
      </x:c>
      <x:c r="D84" s="39" t="n">
        <x:v>1</x:v>
      </x:c>
      <x:c r="E84" s="26" t="str">
        <x:v>sourced</x:v>
      </x:c>
      <x:c r="F84" s="29" t="str">
        <x:v>Verified source Current Assets</x:v>
      </x:c>
      <x:c r="G84" s="29" t="str">
        <x:v>SEC original exact-interval XBRL and reviewed statement; original precision retained, later rounded comparative not treated as restatement</x:v>
      </x:c>
    </x:row>
    <x:row r="85" ht="30" customHeight="1">
      <x:c r="A85" s="26" t="str">
        <x:v>input:current_liabilities:latest_fy_end</x:v>
      </x:c>
      <x:c r="B85" s="38" t="n">
        <x:f>IF(AND(ISNUMBER(C85),ISNUMBER(D85)),C85*D85/1000000,"缺少資料")</x:f>
        <x:v>2242.521</x:v>
      </x:c>
      <x:c r="C85" s="39" t="n">
        <x:v>2242521000</x:v>
      </x:c>
      <x:c r="D85" s="39" t="n">
        <x:v>1</x:v>
      </x:c>
      <x:c r="E85" s="26" t="str">
        <x:v>sourced</x:v>
      </x:c>
      <x:c r="F85" s="29" t="str">
        <x:v>Verified source Current Liabilities</x:v>
      </x:c>
      <x:c r="G85" s="29" t="str">
        <x:v>SEC original exact-interval XBRL and reviewed statement; original precision retained, later rounded comparative not treated as restatement</x:v>
      </x:c>
    </x:row>
    <x:row r="86" ht="42" customHeight="1">
      <x:c r="A86" s="26" t="str">
        <x:v>input:quick_assets:latest_fy_end</x:v>
      </x:c>
      <x:c r="B86" s="38" t="n">
        <x:f>IF(AND(ISNUMBER(C86),ISNUMBER(D86)),C86*D86/1000000,"缺少資料")</x:f>
        <x:v>3272.646</x:v>
      </x:c>
      <x:c r="C86" s="39" t="n">
        <x:v>3272646000</x:v>
      </x:c>
      <x:c r="D86" s="39" t="n">
        <x:v>1</x:v>
      </x:c>
      <x:c r="E86" s="26" t="str">
        <x:v>sourced</x:v>
      </x:c>
      <x:c r="F86" s="29" t="str">
        <x:v>Verified source Quick Assets</x:v>
      </x:c>
      <x:c r="G86" s="29" t="str">
        <x:v>Cash + current time-deposit investments + NET trade receivables; no duplicated securities included in cash; exclude inventory/prepaids/other current assets</x:v>
      </x:c>
    </x:row>
    <x:row r="87" ht="30" customHeight="1">
      <x:c r="A87" s="26" t="str">
        <x:v>input:net_worth:latest_fy_end</x:v>
      </x:c>
      <x:c r="B87" s="38" t="n">
        <x:f>IF(AND(ISNUMBER(C87),ISNUMBER(D87)),C87*D87/1000000,"缺少資料")</x:f>
        <x:v>4318.584</x:v>
      </x:c>
      <x:c r="C87" s="39" t="n">
        <x:v>4318584000</x:v>
      </x:c>
      <x:c r="D87" s="39" t="n">
        <x:v>1</x:v>
      </x:c>
      <x:c r="E87" s="26" t="str">
        <x:v>sourced</x:v>
      </x:c>
      <x:c r="F87" s="29" t="str">
        <x:v>Verified source Net Worth</x:v>
      </x:c>
      <x:c r="G87" s="29" t="str">
        <x:v>Balance sheet complete consolidated shareholders equity; no separate NCI equity presented</x:v>
      </x:c>
    </x:row>
    <x:row r="88" ht="30" customHeight="1">
      <x:c r="A88" s="26" t="str">
        <x:v>input:total_liabilities:latest_fy_end</x:v>
      </x:c>
      <x:c r="B88" s="38" t="n">
        <x:f>IF(AND(ISNUMBER(C88),ISNUMBER(D88)),C88*D88/1000000,"缺少資料")</x:f>
        <x:v>7340.756</x:v>
      </x:c>
      <x:c r="C88" s="39" t="n">
        <x:v>7340756000</x:v>
      </x:c>
      <x:c r="D88" s="39" t="n">
        <x:v>1</x:v>
      </x:c>
      <x:c r="E88" s="26" t="str">
        <x:v>sourced</x:v>
      </x:c>
      <x:c r="F88" s="29" t="str">
        <x:v>Verified source Total Liabilities</x:v>
      </x:c>
      <x:c r="G88" s="29" t="str">
        <x:v>Sum all face-statement current/noncurrent liability subtotals, independently checked against Assets - total equity</x:v>
      </x:c>
    </x:row>
    <x:row r="89" ht="30" customHeight="1">
      <x:c r="A89" s="26" t="str">
        <x:v>input:capitalized_interest:current_interim</x:v>
      </x:c>
      <x:c r="B89" s="38" t="str">
        <x:v>缺少資料</x:v>
      </x:c>
      <x:c r="C89" s="39"/>
      <x:c r="D89" s="39"/>
      <x:c r="E89" s="26" t="str">
        <x:v>缺少資料</x:v>
      </x:c>
      <x:c r="F89" s="29" t="str">
        <x:v>No matching source in the reviewed inputs; not a claim of non-disclosure</x:v>
      </x:c>
      <x:c r="G89" s="29" t="str"/>
    </x:row>
    <x:row r="90" ht="30" customHeight="1">
      <x:c r="A90" s="26" t="str">
        <x:v>input:da:current_interim</x:v>
      </x:c>
      <x:c r="B90" s="38" t="str">
        <x:v>缺少資料</x:v>
      </x:c>
      <x:c r="C90" s="39"/>
      <x:c r="D90" s="39"/>
      <x:c r="E90" s="26" t="str">
        <x:v>缺少資料</x:v>
      </x:c>
      <x:c r="F90" s="29" t="str">
        <x:v>No matching source in the reviewed inputs; not a claim of non-disclosure</x:v>
      </x:c>
      <x:c r="G90" s="29" t="str"/>
    </x:row>
    <x:row r="91" ht="30" customHeight="1">
      <x:c r="A91" s="26" t="str">
        <x:v>input:current_assets:current_interim</x:v>
      </x:c>
      <x:c r="B91" s="38" t="n">
        <x:f>IF(AND(ISNUMBER(C91),ISNUMBER(D91)),C91*D91/1000000,"缺少資料")</x:f>
        <x:v>3968.2</x:v>
      </x:c>
      <x:c r="C91" s="39" t="n">
        <x:v>3968200000</x:v>
      </x:c>
      <x:c r="D91" s="39" t="n">
        <x:v>1</x:v>
      </x:c>
      <x:c r="E91" s="26" t="str">
        <x:v>sourced</x:v>
      </x:c>
      <x:c r="F91" s="29" t="str">
        <x:v>Verified source Current Assets</x:v>
      </x:c>
      <x:c r="G91" s="29" t="str">
        <x:v>SEC original exact-interval XBRL and reviewed statement; original precision retained, later rounded comparative not treated as restatement</x:v>
      </x:c>
    </x:row>
    <x:row r="92" ht="30" customHeight="1">
      <x:c r="A92" s="26" t="str">
        <x:v>input:current_liabilities:current_interim</x:v>
      </x:c>
      <x:c r="B92" s="38" t="n">
        <x:f>IF(AND(ISNUMBER(C92),ISNUMBER(D92)),C92*D92/1000000,"缺少資料")</x:f>
        <x:v>2230.8</x:v>
      </x:c>
      <x:c r="C92" s="39" t="n">
        <x:v>2230800000</x:v>
      </x:c>
      <x:c r="D92" s="39" t="n">
        <x:v>1</x:v>
      </x:c>
      <x:c r="E92" s="26" t="str">
        <x:v>sourced</x:v>
      </x:c>
      <x:c r="F92" s="29" t="str">
        <x:v>Verified source Current Liabilities</x:v>
      </x:c>
      <x:c r="G92" s="29" t="str">
        <x:v>SEC original exact-interval XBRL and reviewed statement; original precision retained, later rounded comparative not treated as restatement</x:v>
      </x:c>
    </x:row>
    <x:row r="93" ht="30" customHeight="1">
      <x:c r="A93" s="26" t="str">
        <x:v>input:quick_assets:current_interim</x:v>
      </x:c>
      <x:c r="B93" s="38" t="n">
        <x:f>IF(AND(ISNUMBER(C93),ISNUMBER(D93)),C93*D93/1000000,"缺少資料")</x:f>
        <x:v>3080.7</x:v>
      </x:c>
      <x:c r="C93" s="39" t="n">
        <x:v>3080700000</x:v>
      </x:c>
      <x:c r="D93" s="39" t="n">
        <x:v>1</x:v>
      </x:c>
      <x:c r="E93" s="26" t="str">
        <x:v>sourced</x:v>
      </x:c>
      <x:c r="F93" s="29" t="str">
        <x:v>Verified source Quick Assets</x:v>
      </x:c>
      <x:c r="G93" s="29" t="str">
        <x:v>SEC original exact-interval XBRL and reviewed statement; original precision retained, later rounded comparative not treated as restatement</x:v>
      </x:c>
    </x:row>
    <x:row r="94" ht="30" customHeight="1">
      <x:c r="A94" s="26" t="str">
        <x:v>input:net_worth:current_interim</x:v>
      </x:c>
      <x:c r="B94" s="38" t="n">
        <x:f>IF(AND(ISNUMBER(C94),ISNUMBER(D94)),C94*D94/1000000,"缺少資料")</x:f>
        <x:v>4801.7</x:v>
      </x:c>
      <x:c r="C94" s="39" t="n">
        <x:v>4801700000</x:v>
      </x:c>
      <x:c r="D94" s="39" t="n">
        <x:v>1</x:v>
      </x:c>
      <x:c r="E94" s="26" t="str">
        <x:v>sourced</x:v>
      </x:c>
      <x:c r="F94" s="29" t="str">
        <x:v>Verified source Net Worth</x:v>
      </x:c>
      <x:c r="G94" s="29" t="str">
        <x:v>SEC original exact-interval XBRL and reviewed statement; original precision retained, later rounded comparative not treated as restatement</x:v>
      </x:c>
    </x:row>
    <x:row r="95" ht="30" customHeight="1">
      <x:c r="A95" s="26" t="str">
        <x:v>input:total_liabilities:current_interim</x:v>
      </x:c>
      <x:c r="B95" s="38" t="n">
        <x:f>IF(AND(ISNUMBER(C95),ISNUMBER(D95)),C95*D95/1000000,"缺少資料")</x:f>
        <x:v>6279.2</x:v>
      </x:c>
      <x:c r="C95" s="39" t="n">
        <x:v>6279200000</x:v>
      </x:c>
      <x:c r="D95" s="39" t="n">
        <x:v>1</x:v>
      </x:c>
      <x:c r="E95" s="26" t="str">
        <x:v>sourced</x:v>
      </x:c>
      <x:c r="F95" s="29" t="str">
        <x:v>Verified source Total Liabilities</x:v>
      </x:c>
      <x:c r="G95" s="29" t="str">
        <x:v>SEC original exact-interval XBRL and reviewed statement; original precision retained, later rounded comparative not treated as restatement</x:v>
      </x:c>
    </x:row>
    <x:row r="96" ht="30" customHeight="1">
      <x:c r="A96" s="26" t="str">
        <x:v>revenue_growth:earlier_fy_end</x:v>
      </x:c>
      <x:c r="B96" s="40" t="str">
        <x:v>無法計算／待確認</x:v>
      </x:c>
      <x:c r="C96" s="39"/>
      <x:c r="D96" s="39"/>
      <x:c r="E96" s="26" t="str">
        <x:v>無法計算／待確認</x:v>
      </x:c>
      <x:c r="F96" s="29" t="str">
        <x:v>Required inputs unavailable</x:v>
      </x:c>
      <x:c r="G96" s="29" t="str"/>
    </x:row>
    <x:row r="97" ht="30" customHeight="1">
      <x:c r="A97" s="26" t="str">
        <x:v>gross_margin:earlier_fy_end</x:v>
      </x:c>
      <x:c r="B97" s="40" t="str">
        <x:v>無法計算／待確認</x:v>
      </x:c>
      <x:c r="C97" s="39"/>
      <x:c r="D97" s="39"/>
      <x:c r="E97" s="26" t="str">
        <x:v>無法計算／待確認</x:v>
      </x:c>
      <x:c r="F97" s="29" t="str">
        <x:v>Required inputs unavailable</x:v>
      </x:c>
      <x:c r="G97" s="29" t="str"/>
    </x:row>
    <x:row r="98" ht="30" customHeight="1">
      <x:c r="A98" s="26" t="str">
        <x:v>operating_margin:earlier_fy_end</x:v>
      </x:c>
      <x:c r="B98" s="40" t="str">
        <x:v>無法計算／待確認</x:v>
      </x:c>
      <x:c r="C98" s="39"/>
      <x:c r="D98" s="39"/>
      <x:c r="E98" s="26" t="str">
        <x:v>無法計算／待確認</x:v>
      </x:c>
      <x:c r="F98" s="29" t="str">
        <x:v>Required inputs unavailable</x:v>
      </x:c>
      <x:c r="G98" s="29" t="str"/>
    </x:row>
    <x:row r="99" ht="30" customHeight="1">
      <x:c r="A99" s="26" t="str">
        <x:v>pretax_margin:earlier_fy_end</x:v>
      </x:c>
      <x:c r="B99" s="40" t="str">
        <x:v>無法計算／待確認</x:v>
      </x:c>
      <x:c r="C99" s="39"/>
      <x:c r="D99" s="39"/>
      <x:c r="E99" s="26" t="str">
        <x:v>無法計算／待確認</x:v>
      </x:c>
      <x:c r="F99" s="29" t="str">
        <x:v>Required inputs unavailable</x:v>
      </x:c>
      <x:c r="G99" s="29" t="str"/>
    </x:row>
    <x:row r="100" ht="30" customHeight="1">
      <x:c r="A100" s="26" t="str">
        <x:v>operating_margin_change:earlier_fy_end</x:v>
      </x:c>
      <x:c r="B100" s="40" t="str">
        <x:v>無法計算／待確認</x:v>
      </x:c>
      <x:c r="C100" s="39"/>
      <x:c r="D100" s="39"/>
      <x:c r="E100" s="26" t="str">
        <x:v>無法計算／待確認</x:v>
      </x:c>
      <x:c r="F100" s="29" t="str">
        <x:v>Required inputs unavailable</x:v>
      </x:c>
      <x:c r="G100" s="29" t="str"/>
    </x:row>
    <x:row r="101" ht="30" customHeight="1">
      <x:c r="A101" s="26" t="str">
        <x:v>revenue_growth:prior_interim</x:v>
      </x:c>
      <x:c r="B101" s="40" t="str">
        <x:v>無法計算／待確認</x:v>
      </x:c>
      <x:c r="C101" s="39"/>
      <x:c r="D101" s="39"/>
      <x:c r="E101" s="26" t="str">
        <x:v>無法計算／待確認</x:v>
      </x:c>
      <x:c r="F101" s="29" t="str">
        <x:v>Required inputs unavailable</x:v>
      </x:c>
      <x:c r="G101" s="29" t="str"/>
    </x:row>
    <x:row r="102" ht="30" customHeight="1">
      <x:c r="A102" s="26" t="str">
        <x:v>gross_margin:prior_interim</x:v>
      </x:c>
      <x:c r="B102" s="40" t="n">
        <x:f>IF(AND(ISNUMBER(B12),ISNUMBER(B4)),IF(B4=0,"無法計算",B12/B4),"缺少資料")</x:f>
        <x:v>0.8863421784741655</x:v>
      </x:c>
      <x:c r="C102" s="39"/>
      <x:c r="D102" s="39"/>
      <x:c r="E102" s="26" t="str">
        <x:v>calculated</x:v>
      </x:c>
      <x:c r="F102" s="29" t="str">
        <x:v>Gross Profit / Revenues</x:v>
      </x:c>
      <x:c r="G102" s="29" t="str"/>
    </x:row>
    <x:row r="103" ht="30" customHeight="1">
      <x:c r="A103" s="26" t="str">
        <x:v>operating_margin:prior_interim</x:v>
      </x:c>
      <x:c r="B103" s="40" t="n">
        <x:f>IF(AND(ISNUMBER(B20),ISNUMBER(B4)),IF(B4=0,"無法計算",B20/B4),"缺少資料")</x:f>
        <x:v>-0.3819211516228268</x:v>
      </x:c>
      <x:c r="C103" s="39"/>
      <x:c r="D103" s="39"/>
      <x:c r="E103" s="26" t="str">
        <x:v>calculated</x:v>
      </x:c>
      <x:c r="F103" s="29" t="str">
        <x:v>Operating Profit / Revenues</x:v>
      </x:c>
      <x:c r="G103" s="29" t="str"/>
    </x:row>
    <x:row r="104" ht="30" customHeight="1">
      <x:c r="A104" s="26" t="str">
        <x:v>pretax_margin:prior_interim</x:v>
      </x:c>
      <x:c r="B104" s="40" t="n">
        <x:f>IF(AND(ISNUMBER(B28),ISNUMBER(B4)),IF(B4=0,"無法計算",B28/B4),"缺少資料")</x:f>
        <x:v>-0.4349585527124807</x:v>
      </x:c>
      <x:c r="C104" s="39"/>
      <x:c r="D104" s="39"/>
      <x:c r="E104" s="26" t="str">
        <x:v>calculated</x:v>
      </x:c>
      <x:c r="F104" s="29" t="str">
        <x:v>Pre-tax Profit / Revenues</x:v>
      </x:c>
      <x:c r="G104" s="29" t="str"/>
    </x:row>
    <x:row r="105" ht="30" customHeight="1">
      <x:c r="A105" s="26" t="str">
        <x:v>operating_margin_change:prior_interim</x:v>
      </x:c>
      <x:c r="B105" s="40" t="str">
        <x:v>無法計算／待確認</x:v>
      </x:c>
      <x:c r="C105" s="39"/>
      <x:c r="D105" s="39"/>
      <x:c r="E105" s="26" t="str">
        <x:v>無法計算／待確認</x:v>
      </x:c>
      <x:c r="F105" s="29" t="str">
        <x:v>Required inputs unavailable</x:v>
      </x:c>
      <x:c r="G105" s="29" t="str"/>
    </x:row>
    <x:row r="106" ht="30" customHeight="1">
      <x:c r="A106" s="26" t="str">
        <x:v>revenue_growth:latest_fy_end</x:v>
      </x:c>
      <x:c r="B106" s="40" t="str">
        <x:v>無法計算／待確認</x:v>
      </x:c>
      <x:c r="C106" s="39"/>
      <x:c r="D106" s="39"/>
      <x:c r="E106" s="26" t="str">
        <x:v>無法計算／待確認</x:v>
      </x:c>
      <x:c r="F106" s="29" t="str">
        <x:v>Required inputs unavailable</x:v>
      </x:c>
      <x:c r="G106" s="29" t="str"/>
    </x:row>
    <x:row r="107" ht="30" customHeight="1">
      <x:c r="A107" s="26" t="str">
        <x:v>gross_margin:latest_fy_end</x:v>
      </x:c>
      <x:c r="B107" s="40" t="str">
        <x:v>無法計算／待確認</x:v>
      </x:c>
      <x:c r="C107" s="39"/>
      <x:c r="D107" s="39"/>
      <x:c r="E107" s="26" t="str">
        <x:v>無法計算／待確認</x:v>
      </x:c>
      <x:c r="F107" s="29" t="str">
        <x:v>Required inputs unavailable</x:v>
      </x:c>
      <x:c r="G107" s="29" t="str"/>
    </x:row>
    <x:row r="108" ht="30" customHeight="1">
      <x:c r="A108" s="26" t="str">
        <x:v>operating_margin:latest_fy_end</x:v>
      </x:c>
      <x:c r="B108" s="40" t="str">
        <x:v>無法計算／待確認</x:v>
      </x:c>
      <x:c r="C108" s="39"/>
      <x:c r="D108" s="39"/>
      <x:c r="E108" s="26" t="str">
        <x:v>無法計算／待確認</x:v>
      </x:c>
      <x:c r="F108" s="29" t="str">
        <x:v>Required inputs unavailable</x:v>
      </x:c>
      <x:c r="G108" s="29" t="str"/>
    </x:row>
    <x:row r="109" ht="30" customHeight="1">
      <x:c r="A109" s="26" t="str">
        <x:v>pretax_margin:latest_fy_end</x:v>
      </x:c>
      <x:c r="B109" s="40" t="str">
        <x:v>無法計算／待確認</x:v>
      </x:c>
      <x:c r="C109" s="39"/>
      <x:c r="D109" s="39"/>
      <x:c r="E109" s="26" t="str">
        <x:v>無法計算／待確認</x:v>
      </x:c>
      <x:c r="F109" s="29" t="str">
        <x:v>Required inputs unavailable</x:v>
      </x:c>
      <x:c r="G109" s="29" t="str"/>
    </x:row>
    <x:row r="110" ht="30" customHeight="1">
      <x:c r="A110" s="26" t="str">
        <x:v>operating_margin_change:latest_fy_end</x:v>
      </x:c>
      <x:c r="B110" s="40" t="str">
        <x:v>無法計算／待確認</x:v>
      </x:c>
      <x:c r="C110" s="39"/>
      <x:c r="D110" s="39"/>
      <x:c r="E110" s="26" t="str">
        <x:v>無法計算／待確認</x:v>
      </x:c>
      <x:c r="F110" s="29" t="str">
        <x:v>Required inputs unavailable</x:v>
      </x:c>
      <x:c r="G110" s="29" t="str"/>
    </x:row>
    <x:row r="111" ht="30" customHeight="1">
      <x:c r="A111" s="26" t="str">
        <x:v>revenue_growth:current_interim</x:v>
      </x:c>
      <x:c r="B111" s="40" t="n">
        <x:f>IF(AND(ISNUMBER(B6),ISNUMBER(B4)),IF(B4=0,"無法計算",(B6-B4)/B4),"缺少資料")</x:f>
        <x:v>0.17166858840484395</x:v>
      </x:c>
      <x:c r="C111" s="39"/>
      <x:c r="D111" s="39"/>
      <x:c r="E111" s="26" t="str">
        <x:v>calculated</x:v>
      </x:c>
      <x:c r="F111" s="29" t="str">
        <x:v>(Current Year Revenues - Previous Year Revenues) / Previous Year Revenues</x:v>
      </x:c>
      <x:c r="G111" s="29" t="str"/>
    </x:row>
    <x:row r="112" ht="30" customHeight="1">
      <x:c r="A112" s="26" t="str">
        <x:v>gross_margin:current_interim</x:v>
      </x:c>
      <x:c r="B112" s="40" t="n">
        <x:f>IF(AND(ISNUMBER(B14),ISNUMBER(B6)),IF(B6=0,"無法計算",B14/B6),"缺少資料")</x:f>
        <x:v>0.8899964869137538</x:v>
      </x:c>
      <x:c r="C112" s="39"/>
      <x:c r="D112" s="39"/>
      <x:c r="E112" s="26" t="str">
        <x:v>calculated</x:v>
      </x:c>
      <x:c r="F112" s="29" t="str">
        <x:v>Gross Profit / Revenues</x:v>
      </x:c>
      <x:c r="G112" s="29" t="str"/>
    </x:row>
    <x:row r="113" ht="30" customHeight="1">
      <x:c r="A113" s="26" t="str">
        <x:v>operating_margin:current_interim</x:v>
      </x:c>
      <x:c r="B113" s="40" t="n">
        <x:f>IF(AND(ISNUMBER(B22),ISNUMBER(B6)),IF(B6=0,"無法計算",B22/B6),"缺少資料")</x:f>
        <x:v>0.256806604602143</x:v>
      </x:c>
      <x:c r="C113" s="39"/>
      <x:c r="D113" s="39"/>
      <x:c r="E113" s="26" t="str">
        <x:v>calculated</x:v>
      </x:c>
      <x:c r="F113" s="29" t="str">
        <x:v>Operating Profit / Revenues</x:v>
      </x:c>
      <x:c r="G113" s="29" t="str"/>
    </x:row>
    <x:row r="114" ht="30" customHeight="1">
      <x:c r="A114" s="26" t="str">
        <x:v>pretax_margin:current_interim</x:v>
      </x:c>
      <x:c r="B114" s="40" t="n">
        <x:f>IF(AND(ISNUMBER(B30),ISNUMBER(B6)),IF(B6=0,"無法計算",B30/B6),"缺少資料")</x:f>
        <x:v>0.22404707535569998</x:v>
      </x:c>
      <x:c r="C114" s="39"/>
      <x:c r="D114" s="39"/>
      <x:c r="E114" s="26" t="str">
        <x:v>calculated</x:v>
      </x:c>
      <x:c r="F114" s="29" t="str">
        <x:v>Pre-tax Profit / Revenues</x:v>
      </x:c>
      <x:c r="G114" s="29" t="str"/>
    </x:row>
    <x:row r="115" ht="30" customHeight="1">
      <x:c r="A115" s="26" t="str">
        <x:v>operating_margin_change:current_interim</x:v>
      </x:c>
      <x:c r="B115" s="40" t="n">
        <x:f>IF(AND(ISNUMBER(B113),ISNUMBER(B103)),B113-B103,"缺少資料")</x:f>
        <x:v>0.6387277562249698</x:v>
      </x:c>
      <x:c r="C115" s="39"/>
      <x:c r="D115" s="39"/>
      <x:c r="E115" s="26" t="str">
        <x:v>calculated</x:v>
      </x:c>
      <x:c r="F115" s="29" t="str">
        <x:v>Current Operating Profit Margin - Previous Operating Profit Margin</x:v>
      </x:c>
      <x:c r="G115" s="29" t="str"/>
    </x:row>
    <x:row r="116">
      <x:c r="A116" s="26"/>
      <x:c r="B116" s="26"/>
      <x:c r="C116" s="26"/>
      <x:c r="D116" s="26"/>
      <x:c r="E116" s="26"/>
      <x:c r="F116" s="26"/>
      <x:c r="G116" s="26"/>
    </x:row>
    <x:row r="117">
      <x:c r="A117" s="26"/>
      <x:c r="B117" s="26"/>
      <x:c r="C117" s="26"/>
      <x:c r="D117" s="26"/>
      <x:c r="E117" s="26"/>
      <x:c r="F117" s="26"/>
      <x:c r="G117" s="26"/>
    </x:row>
    <x:row r="118">
      <x:c r="A118" s="42" t="str">
        <x:v>Evidence ID</x:v>
      </x:c>
      <x:c r="B118" s="42" t="str">
        <x:v>種類</x:v>
      </x:c>
      <x:c r="C118" s="42" t="str">
        <x:v>Source ID</x:v>
      </x:c>
      <x:c r="D118" s="42" t="str">
        <x:v>版本</x:v>
      </x:c>
      <x:c r="E118" s="42" t="str">
        <x:v>文件日期</x:v>
      </x:c>
      <x:c r="F118" s="42" t="str">
        <x:v>來源位置</x:v>
      </x:c>
      <x:c r="G118" s="42" t="str">
        <x:v>原始證據內容</x:v>
      </x:c>
    </x:row>
    <x:row r="119" ht="42" customHeight="1">
      <x:c r="A119" s="29" t="str">
        <x:v>calendar:earlier_fy_end</x:v>
      </x:c>
      <x:c r="B119" s="29" t="str">
        <x:v>calendar</x:v>
      </x:c>
      <x:c r="C119" s="29" t="str">
        <x:v>0001232524-25-000011</x:v>
      </x:c>
      <x:c r="D119" s="29" t="str">
        <x:v>0001232524-25-000011</x:v>
      </x:c>
      <x:c r="E119" s="29" t="str">
        <x:v>2025-02-26</x:v>
      </x:c>
      <x:c r="F119" s="29" t="str">
        <x:v>https://www.sec.gov/Archives/edgar/data/1232524/000123252425000011/jazz-20241231.htm; fiscal cover and exact six-month/annual interval</x:v>
      </x:c>
      <x:c r="G119" s="29" t="str">
        <x:v>[{"start": "2024-01-01", "end": "2024-12-31", "val": 4068950000, "accn": "0001232524-25-000011", "fy": 2024, "fp": "FY", "form": "10-K", "filed": "2025-02-26"}]</x:v>
      </x:c>
    </x:row>
    <x:row r="120" ht="42" customHeight="1">
      <x:c r="A120" s="29" t="str">
        <x:v>calendar:prior_interim</x:v>
      </x:c>
      <x:c r="B120" s="29" t="str">
        <x:v>calendar</x:v>
      </x:c>
      <x:c r="C120" s="29" t="str">
        <x:v>0001232524-25-000063</x:v>
      </x:c>
      <x:c r="D120" s="29" t="str">
        <x:v>0001232524-25-000063</x:v>
      </x:c>
      <x:c r="E120" s="29" t="str">
        <x:v>2025-08-06</x:v>
      </x:c>
      <x:c r="F120" s="29" t="str">
        <x:v>https://www.sec.gov/Archives/edgar/data/1232524/000123252425000063/jazz-20250630.htm; fiscal cover and exact six-month/annual interval</x:v>
      </x:c>
      <x:c r="G120" s="29" t="str">
        <x:v>[{"start": "2025-01-01", "end": "2025-06-30", "val": 1943553000, "accn": "0001232524-25-000063", "fy": 2025, "fp": "Q2", "form": "10-Q", "filed": "2025-08-06"}]</x:v>
      </x:c>
    </x:row>
    <x:row r="121" ht="42" customHeight="1">
      <x:c r="A121" s="29" t="str">
        <x:v>calendar:latest_fy_end</x:v>
      </x:c>
      <x:c r="B121" s="29" t="str">
        <x:v>calendar</x:v>
      </x:c>
      <x:c r="C121" s="29" t="str">
        <x:v>0001232524-26-000013</x:v>
      </x:c>
      <x:c r="D121" s="29" t="str">
        <x:v>0001232524-26-000013</x:v>
      </x:c>
      <x:c r="E121" s="29" t="str">
        <x:v>2026-02-24</x:v>
      </x:c>
      <x:c r="F121" s="29" t="str">
        <x:v>https://www.sec.gov/Archives/edgar/data/1232524/000123252426000013/jazz-20251231.htm; fiscal cover and exact six-month/annual interval</x:v>
      </x:c>
      <x:c r="G121" s="29" t="str">
        <x:v>[{"start": "2025-01-01", "end": "2025-12-31", "val": 4267586000, "accn": "0001232524-26-000013", "fy": 2025, "fp": "FY", "form": "10-K", "filed": "2026-02-24", "frame": "CY2025"}]</x:v>
      </x:c>
    </x:row>
    <x:row r="122" ht="42" customHeight="1">
      <x:c r="A122" s="29" t="str">
        <x:v>calendar:current_interim</x:v>
      </x:c>
      <x:c r="B122" s="29" t="str">
        <x:v>calendar</x:v>
      </x:c>
      <x:c r="C122" s="29" t="str">
        <x:v>0001232524-26-000045</x:v>
      </x:c>
      <x:c r="D122" s="29" t="str">
        <x:v>0001232524-26-000045</x:v>
      </x:c>
      <x:c r="E122" s="29" t="str">
        <x:v>2026-08-03</x:v>
      </x:c>
      <x:c r="F122" s="29" t="str">
        <x:v>https://www.sec.gov/Archives/edgar/data/1232524/000123252426000045/jazz-20260630.htm; fiscal cover and exact six-month/annual interval</x:v>
      </x:c>
      <x:c r="G122" s="29" t="str">
        <x:v>[{"start": "2026-01-01", "end": "2026-06-30", "val": 2277200000, "accn": "0001232524-26-000045", "fy": 2026, "fp": "Q2", "form": "10-Q", "filed": "2026-08-03"}]</x:v>
      </x:c>
    </x:row>
    <x:row r="123" ht="42" customHeight="1">
      <x:c r="A123" s="29" t="str">
        <x:v>approval:user-approved-2026-10-24:DEC-01</x:v>
      </x:c>
      <x:c r="B123" s="29" t="str">
        <x:v>definition</x:v>
      </x:c>
      <x:c r="C123" s="29" t="str">
        <x:v>user-approved-policy</x:v>
      </x:c>
      <x:c r="D123" s="29" t="str">
        <x:v>user-approved-2026-10-24</x:v>
      </x:c>
      <x:c r="E123" s="29" t="str">
        <x:v>2026-10-24</x:v>
      </x:c>
      <x:c r="F123" s="29" t="str">
        <x:v>references/loan-review-acceptance-spec-v1.0.md#9.1-9.2</x:v>
      </x:c>
      <x:c r="G123" s="29" t="str">
        <x:v>Unrestricted cash and equivalents + liquid short-term investments + net receivables; no inventory, prepayments, restricted cash or duplicate investments</x:v>
      </x:c>
    </x:row>
    <x:row r="124" ht="42" customHeight="1">
      <x:c r="A124" s="29" t="str">
        <x:v>approval:user-approved-2026-10-24:DEC-02</x:v>
      </x:c>
      <x:c r="B124" s="29" t="str">
        <x:v>definition</x:v>
      </x:c>
      <x:c r="C124" s="29" t="str">
        <x:v>user-approved-policy</x:v>
      </x:c>
      <x:c r="D124" s="29" t="str">
        <x:v>user-approved-2026-10-24</x:v>
      </x:c>
      <x:c r="E124" s="29" t="str">
        <x:v>2026-10-24</x:v>
      </x:c>
      <x:c r="F124" s="29" t="str">
        <x:v>references/loan-review-acceptance-spec-v1.0.md#9.1-9.2</x:v>
      </x:c>
      <x:c r="G124" s="29" t="str">
        <x:v>Consolidated total equity including NCI; debt includes interest-bearing borrowings, bonds and finance leases, excludes operating leases; no duplicate current portions</x:v>
      </x:c>
    </x:row>
    <x:row r="125" ht="32" customHeight="1">
      <x:c r="A125" s="29" t="str">
        <x:v>approval:user-approved-2026-10-24:DEC-04</x:v>
      </x:c>
      <x:c r="B125" s="29" t="str">
        <x:v>definition</x:v>
      </x:c>
      <x:c r="C125" s="29" t="str">
        <x:v>user-approved-policy</x:v>
      </x:c>
      <x:c r="D125" s="29" t="str">
        <x:v>user-approved-2026-10-24</x:v>
      </x:c>
      <x:c r="E125" s="29" t="str">
        <x:v>2026-10-24</x:v>
      </x:c>
      <x:c r="F125" s="29" t="str">
        <x:v>references/loan-review-acceptance-spec-v1.0.md#9.1-9.2</x:v>
      </x:c>
      <x:c r="G125" s="29" t="str">
        <x:v>Opening/closing average; verified complete Months; allowance deducted once; no LTM annualization</x:v>
      </x:c>
    </x:row>
    <x:row r="126" ht="32" customHeight="1">
      <x:c r="A126" s="29" t="str">
        <x:v>approval:user-approved-2026-10-24:DEC-05</x:v>
      </x:c>
      <x:c r="B126" s="29" t="str">
        <x:v>definition</x:v>
      </x:c>
      <x:c r="C126" s="29" t="str">
        <x:v>user-approved-policy</x:v>
      </x:c>
      <x:c r="D126" s="29" t="str">
        <x:v>user-approved-2026-10-24</x:v>
      </x:c>
      <x:c r="E126" s="29" t="str">
        <x:v>2026-10-24</x:v>
      </x:c>
      <x:c r="F126" s="29" t="str">
        <x:v>references/loan-review-acceptance-spec-v1.0.md#9.1-9.2</x:v>
      </x:c>
      <x:c r="G126" s="29" t="str">
        <x:v>Gross expensed interest, without netting interest income; separately disclosed capitalized interest, no duplication</x:v>
      </x:c>
    </x:row>
    <x:row r="127" ht="32" customHeight="1">
      <x:c r="A127" s="29" t="str">
        <x:v>approval:user-approved-2026-10-24:DEC-06</x:v>
      </x:c>
      <x:c r="B127" s="29" t="str">
        <x:v>definition</x:v>
      </x:c>
      <x:c r="C127" s="29" t="str">
        <x:v>user-approved-policy</x:v>
      </x:c>
      <x:c r="D127" s="29" t="str">
        <x:v>user-approved-2026-10-24</x:v>
      </x:c>
      <x:c r="E127" s="29" t="str">
        <x:v>2026-10-24</x:v>
      </x:c>
      <x:c r="F127" s="29" t="str">
        <x:v>references/loan-review-acceptance-spec-v1.0.md#9.1-9.2</x:v>
      </x:c>
      <x:c r="G127" s="29" t="str">
        <x:v>Standard EBITDA: Net Income + Interest + Taxes + D&amp;A</x:v>
      </x:c>
    </x:row>
    <x:row r="128" ht="32" customHeight="1">
      <x:c r="A128" s="29" t="str">
        <x:v>approval:user-approved-2026-10-24:DEC-07</x:v>
      </x:c>
      <x:c r="B128" s="29" t="str">
        <x:v>definition</x:v>
      </x:c>
      <x:c r="C128" s="29" t="str">
        <x:v>user-approved-policy</x:v>
      </x:c>
      <x:c r="D128" s="29" t="str">
        <x:v>user-approved-2026-10-24</x:v>
      </x:c>
      <x:c r="E128" s="29" t="str">
        <x:v>2026-10-24</x:v>
      </x:c>
      <x:c r="F128" s="29" t="str">
        <x:v>references/loan-review-acceptance-spec-v1.0.md#9.1-9.2</x:v>
      </x:c>
      <x:c r="G128" s="29" t="str">
        <x:v>Only publicly available sources at explicit as-of; latest applicable restatement by that date; retain prior versions</x:v>
      </x:c>
    </x:row>
    <x:row r="129" ht="32" customHeight="1">
      <x:c r="A129" s="29" t="str">
        <x:v>approval:user-approved-2026-10-24:DEC-08</x:v>
      </x:c>
      <x:c r="B129" s="29" t="str">
        <x:v>definition</x:v>
      </x:c>
      <x:c r="C129" s="29" t="str">
        <x:v>user-approved-policy</x:v>
      </x:c>
      <x:c r="D129" s="29" t="str">
        <x:v>user-approved-2026-10-24</x:v>
      </x:c>
      <x:c r="E129" s="29" t="str">
        <x:v>2026-10-24</x:v>
      </x:c>
      <x:c r="F129" s="29" t="str">
        <x:v>references/loan-review-acceptance-spec-v1.0.md#9.1-9.2</x:v>
      </x:c>
      <x:c r="G129" s="29" t="str">
        <x:v>Explicit unavailable states; critical missing facts and incomplete reconciliations block final acceptance</x:v>
      </x:c>
    </x:row>
    <x:row r="130" ht="32" customHeight="1">
      <x:c r="A130" s="29" t="str">
        <x:v>approval:user-approved-2026-10-24:DEC-09</x:v>
      </x:c>
      <x:c r="B130" s="29" t="str">
        <x:v>definition</x:v>
      </x:c>
      <x:c r="C130" s="29" t="str">
        <x:v>user-approved-policy</x:v>
      </x:c>
      <x:c r="D130" s="29" t="str">
        <x:v>user-approved-2026-10-24</x:v>
      </x:c>
      <x:c r="E130" s="29" t="str">
        <x:v>2026-10-24</x:v>
      </x:c>
      <x:c r="F130" s="29" t="str">
        <x:v>references/loan-review-acceptance-spec-v1.0.md#9.1-9.2</x:v>
      </x:c>
      <x:c r="G130" s="29" t="str">
        <x:v>Millions in source currency; two decimal places; parentheses for negatives; retain original precision and scale</x:v>
      </x:c>
    </x:row>
    <x:row r="131" ht="32" customHeight="1">
      <x:c r="A131" s="29" t="str">
        <x:v>approval:user-approved-2026-10-24:DEC-10</x:v>
      </x:c>
      <x:c r="B131" s="29" t="str">
        <x:v>definition</x:v>
      </x:c>
      <x:c r="C131" s="29" t="str">
        <x:v>user-approved-policy</x:v>
      </x:c>
      <x:c r="D131" s="29" t="str">
        <x:v>user-approved-2026-10-24</x:v>
      </x:c>
      <x:c r="E131" s="29" t="str">
        <x:v>2026-10-24</x:v>
      </x:c>
      <x:c r="F131" s="29" t="str">
        <x:v>references/loan-review-acceptance-spec-v1.0.md#9.1-9.2</x:v>
      </x:c>
      <x:c r="G131" s="29" t="str">
        <x:v>Structured inputs and validated workbook adapters only; non-SEC provenance remains explicit</x:v>
      </x:c>
    </x:row>
    <x:row r="132" ht="32" customHeight="1">
      <x:c r="A132" s="29" t="str">
        <x:v>approval:user-approved-2026-10-24:DEC-11</x:v>
      </x:c>
      <x:c r="B132" s="29" t="str">
        <x:v>definition</x:v>
      </x:c>
      <x:c r="C132" s="29" t="str">
        <x:v>user-approved-policy</x:v>
      </x:c>
      <x:c r="D132" s="29" t="str">
        <x:v>user-approved-2026-10-24</x:v>
      </x:c>
      <x:c r="E132" s="29" t="str">
        <x:v>2026-10-24</x:v>
      </x:c>
      <x:c r="F132" s="29" t="str">
        <x:v>references/loan-review-acceptance-spec-v1.0.md#9.1-9.2</x:v>
      </x:c>
      <x:c r="G132" s="29" t="str">
        <x:v>Dashboard excluded from this delivery</x:v>
      </x:c>
    </x:row>
    <x:row r="133" ht="84" customHeight="1">
      <x:c r="A133" s="29" t="str">
        <x:v>supp:839975c6ee9c60004525f1fed1246b25cbf00e56650e0e3e3758f3e83d5a78b9</x:v>
      </x:c>
      <x:c r="B133" s="29" t="str">
        <x:v>fact</x:v>
      </x:c>
      <x:c r="C133" s="29" t="str">
        <x:v>0001232524-25-000063</x:v>
      </x:c>
      <x:c r="D133" s="29" t="str">
        <x:v>0001232524-25-000063</x:v>
      </x:c>
      <x:c r="E133" s="29" t="str">
        <x:v>2025-08-06</x:v>
      </x:c>
      <x:c r="F133" s="29" t="str">
        <x:v>SEC original exact-interval XBRL and reviewed statement; original precision retained, later rounded comparative not treated as restatement</x:v>
      </x:c>
      <x:c r="G133" s="29" t="str">
        <x:v>{"value": "1943553000", "unit": "USD", "scale": "1", "definition": "Source revenue or net sales", "basis": "", "excerpt": "[{\"start\": \"2025-01-01\", \"end\": \"2025-06-30\", \"val\": 1943553000, \"accn\": \"0001232524-25-000063\", \"fy\": 2025, \"fp\": \"Q2\", \"form\": \"10-Q\", \"filed\": \"2025-08-06\"}]", "source_url": "https://www.sec.gov/Archives/edgar/data/1232524/000123252425000063/jazz-20250630.htm", "reason": ""}</x:v>
      </x:c>
    </x:row>
    <x:row r="134" ht="84" customHeight="1">
      <x:c r="A134" s="29" t="str">
        <x:v>supp:60301a4256b83bcb451c0ea11fe2b214cdbb3099722da8283a8bcbbe3e261454</x:v>
      </x:c>
      <x:c r="B134" s="29" t="str">
        <x:v>fact</x:v>
      </x:c>
      <x:c r="C134" s="29" t="str">
        <x:v>0001232524-26-000045</x:v>
      </x:c>
      <x:c r="D134" s="29" t="str">
        <x:v>0001232524-26-000045</x:v>
      </x:c>
      <x:c r="E134" s="29" t="str">
        <x:v>2026-08-03</x:v>
      </x:c>
      <x:c r="F134" s="29" t="str">
        <x:v>SEC original exact-interval XBRL and reviewed statement; original precision retained, later rounded comparative not treated as restatement</x:v>
      </x:c>
      <x:c r="G134" s="29" t="str">
        <x:v>{"value": "2277200000", "unit": "USD", "scale": "1", "definition": "Source revenue or net sales", "basis": "", "excerpt": "[{\"start\": \"2026-01-01\", \"end\": \"2026-06-30\", \"val\": 2277200000, \"accn\": \"0001232524-26-000045\", \"fy\": 2026, \"fp\": \"Q2\", \"form\": \"10-Q\", \"filed\": \"2026-08-03\"}]", "source_url": "https://www.sec.gov/Archives/edgar/data/1232524/000123252426000045/jazz-20260630.htm", "reason": ""}</x:v>
      </x:c>
    </x:row>
    <x:row r="135" ht="84" customHeight="1">
      <x:c r="A135" s="29" t="str">
        <x:v>supp:33cdf73ffdc155d34b15406066d12aaf5f460ae062b552c89f2df9c19b8dd18a</x:v>
      </x:c>
      <x:c r="B135" s="29" t="str">
        <x:v>fact</x:v>
      </x:c>
      <x:c r="C135" s="29" t="str">
        <x:v>0001232524-26-000045</x:v>
      </x:c>
      <x:c r="D135" s="29" t="str">
        <x:v>0001232524-26-000045</x:v>
      </x:c>
      <x:c r="E135" s="29" t="str">
        <x:v>2026-08-03</x:v>
      </x:c>
      <x:c r="F135" s="29" t="str">
        <x:v>SEC original exact-interval XBRL and reviewed statement; original precision retained, later rounded comparative not treated as restatement</x:v>
      </x:c>
      <x:c r="G135" s="29" t="str">
        <x:v>{"value": "220900000.0", "unit": "USD", "scale": "1", "definition": "Source cost of revenue, sales or services", "basis": "", "excerpt": "2026 Q2 filing inline XBRL exact six-month context; acquired technology amortization excluded from product cost and retained in operating expense", "source_url": "https://www.sec.gov/Archives/edgar/data/1232524/000123252426000045/jazz-20260630.htm", "reason": ""}</x:v>
      </x:c>
    </x:row>
    <x:row r="136" ht="84" customHeight="1">
      <x:c r="A136" s="29" t="str">
        <x:v>supp:7c08821bfed237855ba33e9cad777eb0ef66ca03656aab080c3b872cd8888733</x:v>
      </x:c>
      <x:c r="B136" s="29" t="str">
        <x:v>fact</x:v>
      </x:c>
      <x:c r="C136" s="29" t="str">
        <x:v>0001232524-26-000045</x:v>
      </x:c>
      <x:c r="D136" s="29" t="str">
        <x:v>0001232524-26-000045</x:v>
      </x:c>
      <x:c r="E136" s="29" t="str">
        <x:v>2026-08-03</x:v>
      </x:c>
      <x:c r="F136" s="29" t="str">
        <x:v>SEC original exact-interval XBRL and reviewed statement; original precision retained, later rounded comparative not treated as restatement</x:v>
      </x:c>
      <x:c r="G136" s="29" t="str">
        <x:v>{"value": "250500000.0", "unit": "USD", "scale": "1", "definition": "Source cost of revenue, sales or services", "basis": "", "excerpt": "2026 Q2 filing inline XBRL exact six-month context; acquired technology amortization excluded from product cost and retained in operating expense", "source_url": "https://www.sec.gov/Archives/edgar/data/1232524/000123252426000045/jazz-20260630.htm", "reason": ""}</x:v>
      </x:c>
    </x:row>
    <x:row r="137" ht="84" customHeight="1">
      <x:c r="A137" s="29" t="str">
        <x:v>supp:415bfdc5a471bb45b0f980de364c9635f3b47393a9d43ef8f1eca2bb3ed6a28e</x:v>
      </x:c>
      <x:c r="B137" s="29" t="str">
        <x:v>fact</x:v>
      </x:c>
      <x:c r="C137" s="29" t="str">
        <x:v>0001232524-26-000045</x:v>
      </x:c>
      <x:c r="D137" s="29" t="str">
        <x:v>0001232524-26-000045</x:v>
      </x:c>
      <x:c r="E137" s="29" t="str">
        <x:v>2026-08-03</x:v>
      </x:c>
      <x:c r="F137" s="29" t="str">
        <x:v>SEC original exact-interval XBRL and reviewed statement; original precision retained, later rounded comparative not treated as restatement</x:v>
      </x:c>
      <x:c r="G137" s="29" t="str">
        <x:v>{"value": "1722653000.0", "unit": "USD", "scale": "1", "definition": "Source gross profit; derive only with verified identity", "basis": "", "excerpt": "2026 Q2 filing inline XBRL exact six-month context; acquired technology amortization excluded from product cost and retained in operating expense", "source_url": "https://www.sec.gov/Archives/edgar/data/1232524/000123252426000045/jazz-20260630.htm", "reason": ""}</x:v>
      </x:c>
    </x:row>
    <x:row r="138" ht="84" customHeight="1">
      <x:c r="A138" s="29" t="str">
        <x:v>supp:4e5b2cde831988716c0cd1aac84d9ff843df6c9bab8d6c86e9bbb95067b651f3</x:v>
      </x:c>
      <x:c r="B138" s="29" t="str">
        <x:v>fact</x:v>
      </x:c>
      <x:c r="C138" s="29" t="str">
        <x:v>0001232524-26-000045</x:v>
      </x:c>
      <x:c r="D138" s="29" t="str">
        <x:v>0001232524-26-000045</x:v>
      </x:c>
      <x:c r="E138" s="29" t="str">
        <x:v>2026-08-03</x:v>
      </x:c>
      <x:c r="F138" s="29" t="str">
        <x:v>SEC original exact-interval XBRL and reviewed statement; original precision retained, later rounded comparative not treated as restatement</x:v>
      </x:c>
      <x:c r="G138" s="29" t="str">
        <x:v>{"value": "2026700000.0", "unit": "USD", "scale": "1", "definition": "Source gross profit; derive only with verified identity", "basis": "", "excerpt": "2026 Q2 filing inline XBRL exact six-month context; acquired technology amortization excluded from product cost and retained in operating expense", "source_url": "https://www.sec.gov/Archives/edgar/data/1232524/000123252426000045/jazz-20260630.htm", "reason": ""}</x:v>
      </x:c>
    </x:row>
    <x:row r="139" ht="84" customHeight="1">
      <x:c r="A139" s="29" t="str">
        <x:v>supp:5ee4241ef1c9445e89cf682355ee24dc226f970e01efa2a7195507545451ad44</x:v>
      </x:c>
      <x:c r="B139" s="29" t="str">
        <x:v>fact</x:v>
      </x:c>
      <x:c r="C139" s="29" t="str">
        <x:v>0001232524-26-000045</x:v>
      </x:c>
      <x:c r="D139" s="29" t="str">
        <x:v>0001232524-26-000045</x:v>
      </x:c>
      <x:c r="E139" s="29" t="str">
        <x:v>2026-08-03</x:v>
      </x:c>
      <x:c r="F139" s="29" t="str">
        <x:v>SEC original exact-interval XBRL and reviewed statement; original precision retained, later rounded comparative not treated as restatement</x:v>
      </x:c>
      <x:c r="G139" s="29" t="str">
        <x:v>{"value": "2464937000.0", "unit": "USD", "scale": "1", "definition": "Operating expense excluding cost of revenue; verified scope", "basis": "", "excerpt": "2026 Q2 filing inline XBRL exact six-month context; acquired technology amortization excluded from product cost and retained in operating expense", "source_url": "https://www.sec.gov/Archives/edgar/data/1232524/000123252426000045/jazz-20260630.htm", "reason": ""}</x:v>
      </x:c>
    </x:row>
    <x:row r="140" ht="84" customHeight="1">
      <x:c r="A140" s="29" t="str">
        <x:v>supp:15376f50e3d0550ff60b4b83e648dfac6fe23f02bd1e379ecf7295de12fd08dc</x:v>
      </x:c>
      <x:c r="B140" s="29" t="str">
        <x:v>fact</x:v>
      </x:c>
      <x:c r="C140" s="29" t="str">
        <x:v>0001232524-26-000045</x:v>
      </x:c>
      <x:c r="D140" s="29" t="str">
        <x:v>0001232524-26-000045</x:v>
      </x:c>
      <x:c r="E140" s="29" t="str">
        <x:v>2026-08-03</x:v>
      </x:c>
      <x:c r="F140" s="29" t="str">
        <x:v>SEC original exact-interval XBRL and reviewed statement; original precision retained, later rounded comparative not treated as restatement</x:v>
      </x:c>
      <x:c r="G140" s="29" t="str">
        <x:v>{"value": "1441900000.0", "unit": "USD", "scale": "1", "definition": "Operating expense excluding cost of revenue; verified scope", "basis": "", "excerpt": "2026 Q2 filing inline XBRL exact six-month context; acquired technology amortization excluded from product cost and retained in operating expense", "source_url": "https://www.sec.gov/Archives/edgar/data/1232524/000123252426000045/jazz-20260630.htm", "reason": ""}</x:v>
      </x:c>
    </x:row>
    <x:row r="141" ht="84" customHeight="1">
      <x:c r="A141" s="29" t="str">
        <x:v>supp:53c3b234cc9754bef94300edae653bcbb28b265b068ff68d65409ba50aad1084</x:v>
      </x:c>
      <x:c r="B141" s="29" t="str">
        <x:v>fact</x:v>
      </x:c>
      <x:c r="C141" s="29" t="str">
        <x:v>0001232524-25-000063</x:v>
      </x:c>
      <x:c r="D141" s="29" t="str">
        <x:v>0001232524-25-000063</x:v>
      </x:c>
      <x:c r="E141" s="29" t="str">
        <x:v>2025-08-06</x:v>
      </x:c>
      <x:c r="F141" s="29" t="str">
        <x:v>SEC original exact-interval XBRL and reviewed statement; original precision retained, later rounded comparative not treated as restatement</x:v>
      </x:c>
      <x:c r="G141" s="29" t="str">
        <x:v>{"value": "-742284000", "unit": "USD", "scale": "1", "definition": "Source operating profit", "basis": "", "excerpt": "[{\"start\": \"2025-01-01\", \"end\": \"2025-06-30\", \"val\": -742284000, \"accn\": \"0001232524-25-000063\", \"fy\": 2025, \"fp\": \"Q2\", \"form\": \"10-Q\", \"filed\": \"2025-08-06\"}]", "source_url": "https://www.sec.gov/Archives/edgar/data/1232524/000123252425000063/jazz-20250630.htm", "reason": ""}</x:v>
      </x:c>
    </x:row>
    <x:row r="142" ht="84" customHeight="1">
      <x:c r="A142" s="29" t="str">
        <x:v>supp:09cb708adea9a67466bf840e4e168c4c2650dbc83096ff1a2300c5fa82e29890</x:v>
      </x:c>
      <x:c r="B142" s="29" t="str">
        <x:v>fact</x:v>
      </x:c>
      <x:c r="C142" s="29" t="str">
        <x:v>0001232524-26-000045</x:v>
      </x:c>
      <x:c r="D142" s="29" t="str">
        <x:v>0001232524-26-000045</x:v>
      </x:c>
      <x:c r="E142" s="29" t="str">
        <x:v>2026-08-03</x:v>
      </x:c>
      <x:c r="F142" s="29" t="str">
        <x:v>SEC original exact-interval XBRL and reviewed statement; original precision retained, later rounded comparative not treated as restatement</x:v>
      </x:c>
      <x:c r="G142" s="29" t="str">
        <x:v>{"value": "584800000", "unit": "USD", "scale": "1", "definition": "Source operating profit", "basis": "", "excerpt": "[{\"start\": \"2026-01-01\", \"end\": \"2026-06-30\", \"val\": 584800000, \"accn\": \"0001232524-26-000045\", \"fy\": 2026, \"fp\": \"Q2\", \"form\": \"10-Q\", \"filed\": \"2026-08-03\"}]", "source_url": "https://www.sec.gov/Archives/edgar/data/1232524/000123252426000045/jazz-20260630.htm", "reason": ""}</x:v>
      </x:c>
    </x:row>
    <x:row r="143" ht="154" customHeight="1">
      <x:c r="A143" s="29" t="str">
        <x:v>supp:22dc768c3a7e98475eaf48a19f1ac53454e9fef35a35fbb1ed3945c19f07456e</x:v>
      </x:c>
      <x:c r="B143" s="29" t="str">
        <x:v>fact</x:v>
      </x:c>
      <x:c r="C143" s="29" t="str">
        <x:v>0001232524-25-000063</x:v>
      </x:c>
      <x:c r="D143" s="29" t="str">
        <x:v>0001232524-25-000063</x:v>
      </x:c>
      <x:c r="E143" s="29" t="str">
        <x:v>2025-08-06</x:v>
      </x:c>
      <x:c r="F143" s="29" t="str">
        <x:v>SEC original exact-interval XBRL and reviewed statement; original precision retained, later rounded comparative not treated as restatement</x:v>
      </x:c>
      <x:c r="G143" s="29" t="str">
        <x:v>{"value": "147869000", "unit": "USD", "scale": "1", "definition": "Gross expensed interest without netting interest income; exclude separately capitalized interest", "basis": "", "excerpt": "{\"net\": [{\"start\": \"2025-01-01\", \"end\": \"2025-06-30\", \"val\": -101069000, \"accn\": \"0001232524-25-000063\", \"fy\": 2025, \"fp\": \"Q2\", \"form\": \"10-Q\", \"filed\": \"2025-08-06\"}], \"investment_income\": [{\"start\": \"2025-01-01\", \"end\": \"2025-06-30\", \"val\": 46800000, \"accn\": \"0001232524-25-000063\", \"fy\": 2025, \"fp\": \"Q2\", \"form\": \"10-Q\", \"filed\": \"2025-08-06\"}]}; reconstructed gross; approximate at disclosed component precision", "source_url": "https://www.sec.gov/Archives/edgar/data/1232524/000123252425000063/jazz-20250630.htm", "reason": ""}</x:v>
      </x:c>
    </x:row>
    <x:row r="144" ht="154" customHeight="1">
      <x:c r="A144" s="29" t="str">
        <x:v>supp:9553c58d13e474f7b2c397c4a8c7c01295a00934591b880d15148f2e7ba6cd2e</x:v>
      </x:c>
      <x:c r="B144" s="29" t="str">
        <x:v>fact</x:v>
      </x:c>
      <x:c r="C144" s="29" t="str">
        <x:v>0001232524-26-000045</x:v>
      </x:c>
      <x:c r="D144" s="29" t="str">
        <x:v>0001232524-26-000045</x:v>
      </x:c>
      <x:c r="E144" s="29" t="str">
        <x:v>2026-08-03</x:v>
      </x:c>
      <x:c r="F144" s="29" t="str">
        <x:v>SEC original exact-interval XBRL and reviewed statement; original precision retained, later rounded comparative not treated as restatement</x:v>
      </x:c>
      <x:c r="G144" s="29" t="str">
        <x:v>{"value": "125700000", "unit": "USD", "scale": "1", "definition": "Gross expensed interest without netting interest income; exclude separately capitalized interest", "basis": "", "excerpt": "{\"net\": [{\"start\": \"2026-01-01\", \"end\": \"2026-06-30\", \"val\": -77000000, \"accn\": \"0001232524-26-000045\", \"fy\": 2026, \"fp\": \"Q2\", \"form\": \"10-Q\", \"filed\": \"2026-08-03\"}], \"investment_income\": [{\"start\": \"2026-01-01\", \"end\": \"2026-06-30\", \"val\": 48700000, \"accn\": \"0001232524-26-000045\", \"fy\": 2026, \"fp\": \"Q2\", \"form\": \"10-Q\", \"filed\": \"2026-08-03\"}]}; reconstructed gross; approximate at disclosed component precision", "source_url": "https://www.sec.gov/Archives/edgar/data/1232524/000123252426000045/jazz-20260630.htm", "reason": ""}</x:v>
      </x:c>
    </x:row>
    <x:row r="145" ht="98" customHeight="1">
      <x:c r="A145" s="29" t="str">
        <x:v>supp:61bb2599d6e4ba00d611ddc63c8d389348063fac8d0e3cb1fcb343508b219d64</x:v>
      </x:c>
      <x:c r="B145" s="29" t="str">
        <x:v>fact</x:v>
      </x:c>
      <x:c r="C145" s="29" t="str">
        <x:v>0001232524-25-000063</x:v>
      </x:c>
      <x:c r="D145" s="29" t="str">
        <x:v>0001232524-25-000063</x:v>
      </x:c>
      <x:c r="E145" s="29" t="str">
        <x:v>2025-08-06</x:v>
      </x:c>
      <x:c r="F145" s="29" t="str">
        <x:v>SEC original exact-interval XBRL and reviewed statement; original precision retained, later rounded comparative not treated as restatement</x:v>
      </x:c>
      <x:c r="G145" s="29" t="str">
        <x:v>{"value": "-845365000", "unit": "USD", "scale": "1", "definition": "Source pre-tax profit; preserve signed tax benefits in identities", "basis": "", "excerpt": "[{\"start\": \"2025-01-01\", \"end\": \"2025-06-30\", \"val\": -845365000, \"accn\": \"0001232524-25-000063\", \"fy\": 2025, \"fp\": \"Q2\", \"form\": \"10-Q\", \"filed\": \"2025-08-06\"}]", "source_url": "https://www.sec.gov/Archives/edgar/data/1232524/000123252425000063/jazz-20250630.htm", "reason": ""}</x:v>
      </x:c>
    </x:row>
    <x:row r="146" ht="98" customHeight="1">
      <x:c r="A146" s="29" t="str">
        <x:v>supp:50fcd93599fdc3cefd811200a7f28243c092e71934d2d7446aaade5f7025931f</x:v>
      </x:c>
      <x:c r="B146" s="29" t="str">
        <x:v>fact</x:v>
      </x:c>
      <x:c r="C146" s="29" t="str">
        <x:v>0001232524-26-000045</x:v>
      </x:c>
      <x:c r="D146" s="29" t="str">
        <x:v>0001232524-26-000045</x:v>
      </x:c>
      <x:c r="E146" s="29" t="str">
        <x:v>2026-08-03</x:v>
      </x:c>
      <x:c r="F146" s="29" t="str">
        <x:v>SEC original exact-interval XBRL and reviewed statement; original precision retained, later rounded comparative not treated as restatement</x:v>
      </x:c>
      <x:c r="G146" s="29" t="str">
        <x:v>{"value": "510200000", "unit": "USD", "scale": "1", "definition": "Source pre-tax profit; preserve signed tax benefits in identities", "basis": "", "excerpt": "[{\"start\": \"2026-01-01\", \"end\": \"2026-06-30\", \"val\": 510200000, \"accn\": \"0001232524-26-000045\", \"fy\": 2026, \"fp\": \"Q2\", \"form\": \"10-Q\", \"filed\": \"2026-08-03\"}]", "source_url": "https://www.sec.gov/Archives/edgar/data/1232524/000123252426000045/jazz-20260630.htm", "reason": ""}</x:v>
      </x:c>
    </x:row>
    <x:row r="147" ht="84" customHeight="1">
      <x:c r="A147" s="29" t="str">
        <x:v>supp:f7c83ca7d59ebfc0da017ddb4302ced41c090c5941016633c3ed47d1eaa11fb9</x:v>
      </x:c>
      <x:c r="B147" s="29" t="str">
        <x:v>fact</x:v>
      </x:c>
      <x:c r="C147" s="29" t="str">
        <x:v>0001232524-25-000063</x:v>
      </x:c>
      <x:c r="D147" s="29" t="str">
        <x:v>0001232524-25-000063</x:v>
      </x:c>
      <x:c r="E147" s="29" t="str">
        <x:v>2025-08-06</x:v>
      </x:c>
      <x:c r="F147" s="29" t="str">
        <x:v>SEC original exact-interval XBRL and reviewed statement; original precision retained, later rounded comparative not treated as restatement</x:v>
      </x:c>
      <x:c r="G147" s="29" t="str">
        <x:v>{"value": "-34982000", "unit": "USD", "scale": "1", "definition": "Signed income tax expense or benefit", "basis": "", "excerpt": "[{\"start\": \"2025-01-01\", \"end\": \"2025-06-30\", \"val\": -34982000, \"accn\": \"0001232524-25-000063\", \"fy\": 2025, \"fp\": \"Q2\", \"form\": \"10-Q\", \"filed\": \"2025-08-06\"}]", "source_url": "https://www.sec.gov/Archives/edgar/data/1232524/000123252425000063/jazz-20250630.htm", "reason": ""}</x:v>
      </x:c>
    </x:row>
    <x:row r="148" ht="84" customHeight="1">
      <x:c r="A148" s="29" t="str">
        <x:v>supp:9d943076eb46476093b3aa863fe3d532405fe9635997ce746b19dc61be5f1e4f</x:v>
      </x:c>
      <x:c r="B148" s="29" t="str">
        <x:v>fact</x:v>
      </x:c>
      <x:c r="C148" s="29" t="str">
        <x:v>0001232524-26-000045</x:v>
      </x:c>
      <x:c r="D148" s="29" t="str">
        <x:v>0001232524-26-000045</x:v>
      </x:c>
      <x:c r="E148" s="29" t="str">
        <x:v>2026-08-03</x:v>
      </x:c>
      <x:c r="F148" s="29" t="str">
        <x:v>SEC original exact-interval XBRL and reviewed statement; original precision retained, later rounded comparative not treated as restatement</x:v>
      </x:c>
      <x:c r="G148" s="29" t="str">
        <x:v>{"value": "24200000", "unit": "USD", "scale": "1", "definition": "Signed income tax expense or benefit", "basis": "", "excerpt": "[{\"start\": \"2026-01-01\", \"end\": \"2026-06-30\", \"val\": 24200000, \"accn\": \"0001232524-26-000045\", \"fy\": 2026, \"fp\": \"Q2\", \"form\": \"10-Q\", \"filed\": \"2026-08-03\"}]", "source_url": "https://www.sec.gov/Archives/edgar/data/1232524/000123252426000045/jazz-20260630.htm", "reason": ""}</x:v>
      </x:c>
    </x:row>
    <x:row r="149" ht="84" customHeight="1">
      <x:c r="A149" s="29" t="str">
        <x:v>supp:b2e55fd333a59e4ecc885dd5247320a1b77acc3f89858104550e5a7174c787c9</x:v>
      </x:c>
      <x:c r="B149" s="29" t="str">
        <x:v>fact</x:v>
      </x:c>
      <x:c r="C149" s="29" t="str">
        <x:v>0001232524-25-000063</x:v>
      </x:c>
      <x:c r="D149" s="29" t="str">
        <x:v>0001232524-25-000063</x:v>
      </x:c>
      <x:c r="E149" s="29" t="str">
        <x:v>2025-08-06</x:v>
      </x:c>
      <x:c r="F149" s="29" t="str">
        <x:v>SEC original exact-interval XBRL and reviewed statement; original precision retained, later rounded comparative not treated as restatement</x:v>
      </x:c>
      <x:c r="G149" s="29" t="str">
        <x:v>{"value": "-811011000", "unit": "USD", "scale": "1", "definition": "Source net income with consolidation scope", "basis": "", "excerpt": "[{\"start\": \"2025-01-01\", \"end\": \"2025-06-30\", \"val\": -811011000, \"accn\": \"0001232524-25-000063\", \"fy\": 2025, \"fp\": \"Q2\", \"form\": \"10-Q\", \"filed\": \"2025-08-06\"}]", "source_url": "https://www.sec.gov/Archives/edgar/data/1232524/000123252425000063/jazz-20250630.htm", "reason": ""}</x:v>
      </x:c>
    </x:row>
    <x:row r="150" ht="84" customHeight="1">
      <x:c r="A150" s="29" t="str">
        <x:v>supp:93480c5a0c5ac3fc1e140b4049585dea48a68f7bd0876a819f017bdd22eb1354</x:v>
      </x:c>
      <x:c r="B150" s="29" t="str">
        <x:v>fact</x:v>
      </x:c>
      <x:c r="C150" s="29" t="str">
        <x:v>0001232524-26-000045</x:v>
      </x:c>
      <x:c r="D150" s="29" t="str">
        <x:v>0001232524-26-000045</x:v>
      </x:c>
      <x:c r="E150" s="29" t="str">
        <x:v>2026-08-03</x:v>
      </x:c>
      <x:c r="F150" s="29" t="str">
        <x:v>SEC original exact-interval XBRL and reviewed statement; original precision retained, later rounded comparative not treated as restatement</x:v>
      </x:c>
      <x:c r="G150" s="29" t="str">
        <x:v>{"value": "485900000", "unit": "USD", "scale": "1", "definition": "Source net income with consolidation scope", "basis": "", "excerpt": "[{\"start\": \"2026-01-01\", \"end\": \"2026-06-30\", \"val\": 485900000, \"accn\": \"0001232524-26-000045\", \"fy\": 2026, \"fp\": \"Q2\", \"form\": \"10-Q\", \"filed\": \"2026-08-03\"}]", "source_url": "https://www.sec.gov/Archives/edgar/data/1232524/000123252426000045/jazz-20260630.htm", "reason": ""}</x:v>
      </x:c>
    </x:row>
    <x:row r="151" ht="154" customHeight="1">
      <x:c r="A151" s="29" t="str">
        <x:v>supp:45a4a002d950e759b1652df28df7e7b3e5661850827e6247843e363cce6cd8b4</x:v>
      </x:c>
      <x:c r="B151" s="29" t="str">
        <x:v>fact</x:v>
      </x:c>
      <x:c r="C151" s="29" t="str">
        <x:v>0001232524-25-000011</x:v>
      </x:c>
      <x:c r="D151" s="29" t="str">
        <x:v>0001232524-25-000011</x:v>
      </x:c>
      <x:c r="E151" s="29" t="str">
        <x:v>2025-02-26</x:v>
      </x:c>
      <x:c r="F151" s="29" t="str">
        <x:v>Gross debt principal BEFORE issuance costs, PLUS finance lease liabilities; exclude operating leases, add current portions only once</x:v>
      </x:c>
      <x:c r="G151" s="29" t="str">
        <x:v>{"value": "6196509000", "unit": "USD", "scale": "1", "definition": "Consolidated interest-bearing borrowings, bonds and finance lease liabilities, including current portions once; exclude operating lease liabilities and trade payables", "basis": "", "excerpt": "{\"gross_debt\": [{\"end\": \"2024-12-31\", \"val\": 6191500000, \"accn\": \"0001232524-25-000011\", \"fy\": 2024, \"fp\": \"FY\", \"form\": \"10-K\", \"filed\": \"2025-02-26\", \"frame\": \"CY2024Q4I\"}], \"finance_lease\": [{\"end\": \"2024-12-31\", \"val\": 5009000, \"accn\": \"0001232524-25-000011\", \"fy\": 2024, \"fp\": \"FY\", \"form\": \"10-K\", \"filed\": \"2025-02-26\", \"frame\": \"CY2024Q4I\"}]}", "source_url": "https://www.sec.gov/Archives/edgar/data/1232524/000123252425000011/jazz-20241231.htm", "reason": ""}</x:v>
      </x:c>
    </x:row>
    <x:row r="152" ht="154" customHeight="1">
      <x:c r="A152" s="29" t="str">
        <x:v>supp:6d05d41d9f006bcbf1d77896735d45f3750f8a6177ba40950a868c21c88e00b2</x:v>
      </x:c>
      <x:c r="B152" s="29" t="str">
        <x:v>fact</x:v>
      </x:c>
      <x:c r="C152" s="29" t="str">
        <x:v>0001232524-26-000013</x:v>
      </x:c>
      <x:c r="D152" s="29" t="str">
        <x:v>0001232524-26-000013</x:v>
      </x:c>
      <x:c r="E152" s="29" t="str">
        <x:v>2026-02-24</x:v>
      </x:c>
      <x:c r="F152" s="29" t="str">
        <x:v>Gross debt principal BEFORE issuance costs, PLUS finance lease liabilities; exclude operating leases, add current portions only once</x:v>
      </x:c>
      <x:c r="G152" s="29" t="str">
        <x:v>{"value": "5414379000", "unit": "USD", "scale": "1", "definition": "Consolidated interest-bearing borrowings, bonds and finance lease liabilities, including current portions once; exclude operating lease liabilities and trade payables", "basis": "", "excerpt": "{\"gross_debt\": [{\"end\": \"2025-12-31\", \"val\": 5410500000, \"accn\": \"0001232524-26-000013\", \"fy\": 2025, \"fp\": \"FY\", \"form\": \"10-K\", \"filed\": \"2026-02-24\", \"frame\": \"CY2025Q4I\"}], \"finance_lease\": [{\"end\": \"2025-12-31\", \"val\": 3879000, \"accn\": \"0001232524-26-000013\", \"fy\": 2025, \"fp\": \"FY\", \"form\": \"10-K\", \"filed\": \"2026-02-24\", \"frame\": \"CY2025Q4I\"}]}", "source_url": "https://www.sec.gov/Archives/edgar/data/1232524/000123252426000013/jazz-20251231.htm", "reason": ""}</x:v>
      </x:c>
    </x:row>
    <x:row r="153" ht="392" customHeight="1">
      <x:c r="A153" s="29" t="str">
        <x:v>supp:1310900652805241099c67ce605c44c849d8ee0f13ee4b44086b05947f41ab75</x:v>
      </x:c>
      <x:c r="B153" s="29" t="str">
        <x:v>fact</x:v>
      </x:c>
      <x:c r="C153" s="29" t="str">
        <x:v>0001232524-25-000011</x:v>
      </x:c>
      <x:c r="D153" s="29" t="str">
        <x:v>0001232524-25-000011</x:v>
      </x:c>
      <x:c r="E153" s="29" t="str">
        <x:v>2025-02-26</x:v>
      </x:c>
      <x:c r="F153" s="29" t="str">
        <x:v>SEC original exact-interval XBRL and reviewed statement; original precision retained, later rounded comparative not treated as restatement</x:v>
      </x:c>
      <x:c r="G153" s="29" t="str">
        <x:v>{"value": "1473155000", "unit": "USD", "scale": "1", "definition": "Standard EBITDA: Net Income + Interest + Taxes + D&amp;A", "basis": "Standard EBITDA: Net Income + Interest + Taxes + D&amp;A", "excerpt": "[{\"tag\": \"NetIncomeLoss\", \"value\": \"560120000\", \"observations\": [{\"start\": \"2024-01-01\", \"end\": \"2024-12-31\", \"val\": 560120000, \"accn\": \"0001232524-25-000011\", \"fy\": 2024, \"fp\": \"FY\", \"form\": \"10-K\", \"filed\": \"2025-02-26\"}]}, {\"tag\": \"InterestIncomeExpenseNonoperatingNet\", \"value\": \"238097000\", \"observations\": [{\"start\": \"2024-01-01\", \"end\": \"2024-12-31\", \"val\": -238097000, \"accn\": \"0001232524-25-000011\", \"fy\": 2024, \"fp\": \"FY\", \"form\": \"10-K\", \"filed\": \"2025-02-26\"}]}, {\"tag\": \"InvestmentIncomeInterest\", \"value\": \"106300000\", \"observations\": [{\"start\": \"2024-01-01\", \"end\": \"2024-12-31\", \"val\": 106300000, \"accn\": \"0001232524-25-000011\", \"fy\": 2024, \"fp\": \"FY\", \"form\": \"10-K\", \"filed\": \"2025-02-26\"}]}, {\"tag\": \"IncomeTaxExpenseBenefit\", \"value\": \"-91429000\", \"observations\": [{\"start\": \"2024-01-01\", \"end\": \"2024-12-31\", \"val\": -91429000, \"accn\": \"0001232524-25-000011\", \"fy\": 2024, \"fp\": \"FY\", \"form\": \"10-K\", \"filed\": \"2025-02-26\"}]}, {\"tag\": \"Depreciation\", \"value\": \"32754000\", \"observations\": [{\"start\": \"2024-01-01\", \"end\": \"2024-12-31\", \"val\": 32754000, \"accn\": \"0001232524-25-000011\", \"fy\": 2024, \"fp\": \"FY\", \"form\": \"10-K\", \"filed\": \"2025-02-26\"}]}, {\"tag\": \"AmortizationOfIntangibleAssets\", \"value\": \"627313000\", \"observations\": [{\"start\": \"2024-01-01\", \"end\": \"2024-12-31\", \"val\": 627313000, \"accn\": \"0001232524-25-000011\", \"fy\": 2024, \"fp\": \"FY\", \"form\": \"10-K\", \"filed\": \"2025-02-26\"}]}]; Standard EBITDA retains IPR&amp;D and litigation expenses; gross interest inherits disclosed rounding", "source_url": "https://www.sec.gov/Archives/edgar/data/1232524/000123252425000011/jazz-20241231.htm", "reason": ""}</x:v>
      </x:c>
    </x:row>
    <x:row r="154" ht="854" customHeight="1">
      <x:c r="A154" s="29" t="str">
        <x:v>supp:3218632b0d4075bff5dcf72b9bb129d785ce76263aec041563906ec831877fdb</x:v>
      </x:c>
      <x:c r="B154" s="29" t="str">
        <x:v>fact</x:v>
      </x:c>
      <x:c r="C154" s="29" t="str">
        <x:v>0001232524-25-000063</x:v>
      </x:c>
      <x:c r="D154" s="29" t="str">
        <x:v>0001232524-25-000063</x:v>
      </x:c>
      <x:c r="E154" s="29" t="str">
        <x:v>2025-08-06</x:v>
      </x:c>
      <x:c r="F154" s="29" t="str">
        <x:v>SEC original exact-interval XBRL and reviewed statement; original precision retained, later rounded comparative not treated as restatement</x:v>
      </x:c>
      <x:c r="G154" s="29" t="str">
        <x:v>{"value": "475790000", "unit": "USD", "scale": "1", "definition": "Standard EBITDA: Net Income + Interest + Taxes + D&amp;A", "basis": "Standard EBITDA: Net Income + Interest + Taxes + D&amp;A", "excerpt": "[{\"tag\": \"NetIncomeLoss\", \"value\": \"-404841000\", \"observations\": {\"annual\": [{\"start\": \"2024-01-01\", \"end\": \"2024-12-31\", \"val\": 560120000, \"accn\": \"0001232524-25-000011\", \"fy\": 2024, \"fp\": \"FY\", \"form\": \"10-K\", \"filed\": \"2025-02-26\"}], \"current\": [{\"start\": \"2025-01-01\", \"end\": \"2025-06-30\", \"val\": -811011000, \"accn\": \"0001232524-25-000063\", \"fy\": 2025, \"fp\": \"Q2\", \"form\": \"10-Q\", \"filed\": \"2025-08-06\"}], \"prior\": [{\"start\": \"2024-01-01\", \"end\": \"2024-06-30\", \"val\": 153950000, \"accn\": \"0001232524-24-000068\", \"fy\": 2024, \"fp\": \"Q2\", \"form\": \"10-Q\", \"filed\": \"2024-08-01\"}]}}, {\"tag\": \"InterestIncomeExpenseNonoperatingNet\", \"value\": \"211027000\", \"observations\": {\"annual\": [{\"start\": \"2024-01-01\", \"end\": \"2024-12-31\", \"val\": -238097000, \"accn\": \"0001232524-25-000011\", \"fy\": 2024, \"fp\": \"FY\", \"form\": \"10-K\", \"filed\": \"2025-02-26\"}], \"current\": [{\"start\": \"2025-01-01\", \"end\": \"2025-06-30\", \"val\": -101069000, \"accn\": \"0001232524-25-000063\", \"fy\": 2025, \"fp\": \"Q2\", \"form\": \"10-Q\", \"filed\": \"2025-08-06\"}], \"prior\": [{\"start\": \"2024-01-01\", \"end\": \"2024-06-30\", \"val\": -128139000, \"accn\": \"0001232524-24-000068\", \"fy\": 2024, \"fp\": \"Q2\", \"form\": \"10-Q\", \"filed\": \"2024-08-01\"}]}}, {\"tag\": \"InvestmentIncomeInterest\", \"value\": \"104500000\", \"observations\": {\"annual\": [{\"start\": \"2024-01-01\", \"end\": \"2024-12-31\", \"val\": 106300000, \"accn\": \"0001232524-25-000011\", \"fy\": 2024, \"fp\": \"FY\", \"form\": \"10-K\", \"filed\": \"2025-02-26\"}], \"current\": [{\"start\": \"2025-01-01\", \"end\": \"2025-06-30\", \"val\": 46800000, \"accn\": \"0001232524-25-000063\", \"fy\": 2025, \"fp\": \"Q2\", \"form\": \"10-Q\", \"filed\": \"2025-08-06\"}], \"prior\": [{\"start\": \"2024-01-01\", \"end\": \"2024-06-30\", \"val\": 48600000, \"accn\": \"0001232524-24-000068\", \"fy\": 2024, \"fp\": \"Q2\", \"form\": \"10-Q\", \"filed\": \"2024-08-01\"}]}}, {\"tag\": \"IncomeTaxExpenseBenefit\", \"value\": \"-107427000\", \"observations\": {\"annual\": [{\"start\": \"2024-01-01\", \"end\": \"2024-12-31\", \"val\": -91429000, \"accn\": \"0001232524-25-000011\", \"fy\": 2024, \"fp\": \"FY\", \"form\": \"10-K\", \"filed\": \"2025-02-26\"}], \"current\": [{\"start\": \"2025-01-01\", \"end\": \"2025-06-30\", \"val\": -34982000, \"accn\": \"0001232524-25-000063\", \"fy\": 2025, \"fp\": \"Q2\", \"form\": \"10-Q\", \"filed\": \"2025-08-06\"}], \"prior\": [{\"start\": \"2024-01-01\", \"end\": \"2024-06-30\", \"val\": -18984000, \"accn\": \"0001232524-24-000068\", \"fy\": 2024, \"fp\": \"Q2\", \"form\": \"10-Q\", \"filed\": \"2024-08-01\"}]}}, {\"tag\": \"Depreciation\", \"value\": \"39620000\", \"observations\": {\"annual\": [{\"start\": \"2024-01-01\", \"end\": \"2024-12-31\", \"val\": 32754000, \"accn\": \"0001232524-25-000011\", \"fy\": 2024, \"fp\": \"FY\", \"form\": \"10-K\", \"filed\": \"2025-02-26\"}], \"current\": [{\"start\": \"2025-01-01\", \"end\": \"2025-06-30\", \"val\": 22331000, \"accn\": \"0001232524-25-000063\", \"fy\": 2025, \"fp\": \"Q2\", \"form\": \"10-Q\", \"filed\": \"2025-08-06\"}], \"prior\": [{\"start\": \"2024-01-01\", \"end\": \"2024-06-30\", \"val\": 15465000, \"accn\": \"0001232524-24-000068\", \"fy\": 2024, \"fp\": \"Q2\", \"form\": \"10-Q\", \"filed\": \"2024-08-01\"}]}}, {\"tag\": \"AmortizationOfIntangibleAssets\", \"value\": \"632911000\", \"observations\": {\"annual\": [{\"start\": \"2024-01-01\", \"end\": \"2024-12-31\", \"val\": 627313000, \"accn\": \"0001232524-25-000011\", \"fy\": 2024, \"fp\": \"FY\", \"form\": \"10-K\", \"filed\": \"2025-02-26\"}], \"current\": [{\"start\": \"2025-01-01\", \"end\": \"2025-06-30\", \"val\": 316551000, \"accn\": \"0001232524-25-000063\", \"fy\": 2025, \"fp\": \"Q2\", \"form\": \"10-Q\", \"filed\": \"2025-08-06\"}], \"prior\": [{\"start\": \"2024-01-01\", \"end\": \"2024-06-30\", \"val\": 310953000, \"accn\": \"0001232524-24-000068\", \"fy\": 2024, \"fp\": \"Q2\", \"form\": \"10-Q\", \"filed\": \"2024-08-01\"}]}}]; Standard EBITDA retains IPR&amp;D and litigation expenses; gross interest inherits disclosed rounding", "source_url": "https://www.sec.gov/Archives/edgar/data/1232524/000123252425000063/jazz-20250630.htm", "reason": ""}</x:v>
      </x:c>
    </x:row>
    <x:row r="155" ht="406" customHeight="1">
      <x:c r="A155" s="29" t="str">
        <x:v>supp:2f4cdfb45e212aec5dfcbba6fd3823433bbda3be56038232b5d9d1fd41b09307</x:v>
      </x:c>
      <x:c r="B155" s="29" t="str">
        <x:v>fact</x:v>
      </x:c>
      <x:c r="C155" s="29" t="str">
        <x:v>0001232524-26-000013</x:v>
      </x:c>
      <x:c r="D155" s="29" t="str">
        <x:v>0001232524-26-000013</x:v>
      </x:c>
      <x:c r="E155" s="29" t="str">
        <x:v>2026-02-24</x:v>
      </x:c>
      <x:c r="F155" s="29" t="str">
        <x:v>SEC original exact-interval XBRL and reviewed statement; original precision retained, later rounded comparative not treated as restatement</x:v>
      </x:c>
      <x:c r="G155" s="29" t="str">
        <x:v>{"value": "348557000", "unit": "USD", "scale": "1", "definition": "Standard EBITDA: Net Income + Interest + Taxes + D&amp;A", "basis": "Standard EBITDA: Net Income + Interest + Taxes + D&amp;A", "excerpt": "[{\"tag\": \"NetIncomeLoss\", \"value\": \"-356148000\", \"observations\": [{\"start\": \"2025-01-01\", \"end\": \"2025-12-31\", \"val\": -356148000, \"accn\": \"0001232524-26-000013\", \"fy\": 2025, \"fp\": \"FY\", \"form\": \"10-K\", \"filed\": \"2026-02-24\"}]}, {\"tag\": \"InterestIncomeExpenseNonoperatingNet\", \"value\": \"195051000\", \"observations\": [{\"start\": \"2025-01-01\", \"end\": \"2025-12-31\", \"val\": -195051000, \"accn\": \"0001232524-26-000013\", \"fy\": 2025, \"fp\": \"FY\", \"form\": \"10-K\", \"filed\": \"2026-02-24\", \"frame\": \"CY2025\"}]}, {\"tag\": \"InvestmentIncomeInterest\", \"value\": \"85800000\", \"observations\": [{\"start\": \"2025-01-01\", \"end\": \"2025-12-31\", \"val\": 85800000, \"accn\": \"0001232524-26-000013\", \"fy\": 2025, \"fp\": \"FY\", \"form\": \"10-K\", \"filed\": \"2026-02-24\", \"frame\": \"CY2025\"}]}, {\"tag\": \"IncomeTaxExpenseBenefit\", \"value\": \"-272443000\", \"observations\": [{\"start\": \"2025-01-01\", \"end\": \"2025-12-31\", \"val\": -272443000, \"accn\": \"0001232524-26-000013\", \"fy\": 2025, \"fp\": \"FY\", \"form\": \"10-K\", \"filed\": \"2026-02-24\", \"frame\": \"CY2025\"}]}, {\"tag\": \"Depreciation\", \"value\": \"41636000\", \"observations\": [{\"start\": \"2025-01-01\", \"end\": \"2025-12-31\", \"val\": 41636000, \"accn\": \"0001232524-26-000013\", \"fy\": 2025, \"fp\": \"FY\", \"form\": \"10-K\", \"filed\": \"2026-02-24\", \"frame\": \"CY2025\"}]}, {\"tag\": \"AmortizationOfIntangibleAssets\", \"value\": \"654661000\", \"observations\": [{\"start\": \"2025-01-01\", \"end\": \"2025-12-31\", \"val\": 654661000, \"accn\": \"0001232524-26-000013\", \"fy\": 2025, \"fp\": \"FY\", \"form\": \"10-K\", \"filed\": \"2026-02-24\", \"frame\": \"CY2025\"}]}]; Standard EBITDA retains IPR&amp;D and litigation expenses; gross interest inherits disclosed rounding", "source_url": "https://www.sec.gov/Archives/edgar/data/1232524/000123252426000013/jazz-20251231.htm", "reason": ""}</x:v>
      </x:c>
    </x:row>
    <x:row r="156" ht="882" customHeight="1">
      <x:c r="A156" s="29" t="str">
        <x:v>supp:876889e1cc24df630318f0ce38ffc656047f04e07fc589394ca8f4413fa93f65</x:v>
      </x:c>
      <x:c r="B156" s="29" t="str">
        <x:v>fact</x:v>
      </x:c>
      <x:c r="C156" s="29" t="str">
        <x:v>0001232524-26-000045</x:v>
      </x:c>
      <x:c r="D156" s="29" t="str">
        <x:v>0001232524-26-000045</x:v>
      </x:c>
      <x:c r="E156" s="29" t="str">
        <x:v>2026-08-03</x:v>
      </x:c>
      <x:c r="F156" s="29" t="str">
        <x:v>SEC original exact-interval XBRL and reviewed statement; original precision retained, later rounded comparative not treated as restatement</x:v>
      </x:c>
      <x:c r="G156" s="29" t="str">
        <x:v>{"value": "1704099000", "unit": "USD", "scale": "1", "definition": "Standard EBITDA: Net Income + Interest + Taxes + D&amp;A", "basis": "Standard EBITDA: Net Income + Interest + Taxes + D&amp;A", "excerpt": "[{\"tag\": \"NetIncomeLoss\", \"value\": \"940763000\", \"observations\": {\"annual\": [{\"start\": \"2025-01-01\", \"end\": \"2025-12-31\", \"val\": -356148000, \"accn\": \"0001232524-26-000013\", \"fy\": 2025, \"fp\": \"FY\", \"form\": \"10-K\", \"filed\": \"2026-02-24\"}], \"current\": [{\"start\": \"2026-01-01\", \"end\": \"2026-06-30\", \"val\": 485900000, \"accn\": \"0001232524-26-000045\", \"fy\": 2026, \"fp\": \"Q2\", \"form\": \"10-Q\", \"filed\": \"2026-08-03\"}], \"prior\": [{\"start\": \"2025-01-01\", \"end\": \"2025-06-30\", \"val\": -811011000, \"accn\": \"0001232524-25-000063\", \"fy\": 2025, \"fp\": \"Q2\", \"form\": \"10-Q\", \"filed\": \"2025-08-06\"}]}}, {\"tag\": \"InterestIncomeExpenseNonoperatingNet\", \"value\": \"170982000\", \"observations\": {\"annual\": [{\"start\": \"2025-01-01\", \"end\": \"2025-12-31\", \"val\": -195051000, \"accn\": \"0001232524-26-000013\", \"fy\": 2025, \"fp\": \"FY\", \"form\": \"10-K\", \"filed\": \"2026-02-24\", \"frame\": \"CY2025\"}], \"current\": [{\"start\": \"2026-01-01\", \"end\": \"2026-06-30\", \"val\": -77000000, \"accn\": \"0001232524-26-000045\", \"fy\": 2026, \"fp\": \"Q2\", \"form\": \"10-Q\", \"filed\": \"2026-08-03\"}], \"prior\": [{\"start\": \"2025-01-01\", \"end\": \"2025-06-30\", \"val\": -101069000, \"accn\": \"0001232524-25-000063\", \"fy\": 2025, \"fp\": \"Q2\", \"form\": \"10-Q\", \"filed\": \"2025-08-06\"}]}}, {\"tag\": \"InvestmentIncomeInterest\", \"value\": \"87700000\", \"observations\": {\"annual\": [{\"start\": \"2025-01-01\", \"end\": \"2025-12-31\", \"val\": 85800000, \"accn\": \"0001232524-26-000013\", \"fy\": 2025, \"fp\": \"FY\", \"form\": \"10-K\", \"filed\": \"2026-02-24\", \"frame\": \"CY2025\"}], \"current\": [{\"start\": \"2026-01-01\", \"end\": \"2026-06-30\", \"val\": 48700000, \"accn\": \"0001232524-26-000045\", \"fy\": 2026, \"fp\": \"Q2\", \"form\": \"10-Q\", \"filed\": \"2026-08-03\"}], \"prior\": [{\"start\": \"2025-01-01\", \"end\": \"2025-06-30\", \"val\": 46800000, \"accn\": \"0001232524-25-000063\", \"fy\": 2025, \"fp\": \"Q2\", \"form\": \"10-Q\", \"filed\": \"2025-08-06\"}]}}, {\"tag\": \"IncomeTaxExpenseBenefit\", \"value\": \"-213261000\", \"observations\": {\"annual\": [{\"start\": \"2025-01-01\", \"end\": \"2025-12-31\", \"val\": -272443000, \"accn\": \"0001232524-26-000013\", \"fy\": 2025, \"fp\": \"FY\", \"form\": \"10-K\", \"filed\": \"2026-02-24\", \"frame\": \"CY2025\"}], \"current\": [{\"start\": \"2026-01-01\", \"end\": \"2026-06-30\", \"val\": 24200000, \"accn\": \"0001232524-26-000045\", \"fy\": 2026, \"fp\": \"Q2\", \"form\": \"10-Q\", \"filed\": \"2026-08-03\"}], \"prior\": [{\"start\": \"2025-01-01\", \"end\": \"2025-06-30\", \"val\": -34982000, \"accn\": \"0001232524-25-000063\", \"fy\": 2025, \"fp\": \"Q2\", \"form\": \"10-Q\", \"filed\": \"2025-08-06\"}]}}, {\"tag\": \"Depreciation\", \"value\": \"37505000\", \"observations\": {\"annual\": [{\"start\": \"2025-01-01\", \"end\": \"2025-12-31\", \"val\": 41636000, \"accn\": \"0001232524-26-000013\", \"fy\": 2025, \"fp\": \"FY\", \"form\": \"10-K\", \"filed\": \"2026-02-24\", \"frame\": \"CY2025\"}], \"current\": [{\"start\": \"2026-01-01\", \"end\": \"2026-06-30\", \"val\": 18200000, \"accn\": \"0001232524-26-000045\", \"fy\": 2026, \"fp\": \"Q2\", \"form\": \"10-Q\", \"filed\": \"2026-08-03\"}], \"prior\": [{\"start\": \"2025-01-01\", \"end\": \"2025-06-30\", \"val\": 22331000, \"accn\": \"0001232524-25-000063\", \"fy\": 2025, \"fp\": \"Q2\", \"form\": \"10-Q\", \"filed\": \"2025-08-06\"}]}}, {\"tag\": \"AmortizationOfIntangibleAssets\", \"value\": \"680410000\", \"observations\": {\"annual\": [{\"start\": \"2025-01-01\", \"end\": \"2025-12-31\", \"val\": 654661000, \"accn\": \"0001232524-26-000013\", \"fy\": 2025, \"fp\": \"FY\", \"form\": \"10-K\", \"filed\": \"2026-02-24\", \"frame\": \"CY2025\"}], \"current\": [{\"start\": \"2026-01-01\", \"end\": \"2026-06-30\", \"val\": 342300000, \"accn\": \"0001232524-26-000045\", \"fy\": 2026, \"fp\": \"Q2\", \"form\": \"10-Q\", \"filed\": \"2026-08-03\"}], \"prior\": [{\"start\": \"2025-01-01\", \"end\": \"2025-06-30\", \"val\": 316551000, \"accn\": \"0001232524-25-000063\", \"fy\": 2025, \"fp\": \"Q2\", \"form\": \"10-Q\", \"filed\": \"2025-08-06\"}]}}]; Standard EBITDA retains IPR&amp;D and litigation expenses; gross interest inherits disclosed rounding", "source_url": "https://www.sec.gov/Archives/edgar/data/1232524/000123252426000045/jazz-20260630.htm", "reason": ""}</x:v>
      </x:c>
    </x:row>
    <x:row r="157" ht="378" customHeight="1">
      <x:c r="A157" s="29" t="str">
        <x:v>supp:7909b17b95d93c39a17f1aa3f5fe6c500534532673e73054ad6581e341713b45</x:v>
      </x:c>
      <x:c r="B157" s="29" t="str">
        <x:v>fact</x:v>
      </x:c>
      <x:c r="C157" s="29" t="str">
        <x:v>0001232524-25-000011</x:v>
      </x:c>
      <x:c r="D157" s="29" t="str">
        <x:v>0001232524-25-000011</x:v>
      </x:c>
      <x:c r="E157" s="29" t="str">
        <x:v>2025-02-26</x:v>
      </x:c>
      <x:c r="F157" s="29" t="str">
        <x:v>SEC original exact-interval XBRL and reviewed statement; original precision retained, later rounded comparative not treated as restatement</x:v>
      </x:c>
      <x:c r="G157" s="29" t="str">
        <x:v>{"value": "Standard EBITDA: Net Income + Interest + Taxes + D&amp;A", "unit": "text", "scale": "1", "definition": "Source and actual EBITDA definition, including adjustments", "basis": "Standard EBITDA: Net Income + Interest + Taxes + D&amp;A", "excerpt": "[{\"tag\": \"NetIncomeLoss\", \"value\": \"560120000\", \"observations\": [{\"start\": \"2024-01-01\", \"end\": \"2024-12-31\", \"val\": 560120000, \"accn\": \"0001232524-25-000011\", \"fy\": 2024, \"fp\": \"FY\", \"form\": \"10-K\", \"filed\": \"2025-02-26\"}]}, {\"tag\": \"InterestIncomeExpenseNonoperatingNet\", \"value\": \"238097000\", \"observations\": [{\"start\": \"2024-01-01\", \"end\": \"2024-12-31\", \"val\": -238097000, \"accn\": \"0001232524-25-000011\", \"fy\": 2024, \"fp\": \"FY\", \"form\": \"10-K\", \"filed\": \"2025-02-26\"}]}, {\"tag\": \"InvestmentIncomeInterest\", \"value\": \"106300000\", \"observations\": [{\"start\": \"2024-01-01\", \"end\": \"2024-12-31\", \"val\": 106300000, \"accn\": \"0001232524-25-000011\", \"fy\": 2024, \"fp\": \"FY\", \"form\": \"10-K\", \"filed\": \"2025-02-26\"}]}, {\"tag\": \"IncomeTaxExpenseBenefit\", \"value\": \"-91429000\", \"observations\": [{\"start\": \"2024-01-01\", \"end\": \"2024-12-31\", \"val\": -91429000, \"accn\": \"0001232524-25-000011\", \"fy\": 2024, \"fp\": \"FY\", \"form\": \"10-K\", \"filed\": \"2025-02-26\"}]}, {\"tag\": \"Depreciation\", \"value\": \"32754000\", \"observations\": [{\"start\": \"2024-01-01\", \"end\": \"2024-12-31\", \"val\": 32754000, \"accn\": \"0001232524-25-000011\", \"fy\": 2024, \"fp\": \"FY\", \"form\": \"10-K\", \"filed\": \"2025-02-26\"}]}, {\"tag\": \"AmortizationOfIntangibleAssets\", \"value\": \"627313000\", \"observations\": [{\"start\": \"2024-01-01\", \"end\": \"2024-12-31\", \"val\": 627313000, \"accn\": \"0001232524-25-000011\", \"fy\": 2024, \"fp\": \"FY\", \"form\": \"10-K\", \"filed\": \"2025-02-26\"}]}]", "source_url": "https://www.sec.gov/Archives/edgar/data/1232524/000123252425000011/jazz-20241231.htm", "reason": ""}</x:v>
      </x:c>
    </x:row>
    <x:row r="158" ht="854" customHeight="1">
      <x:c r="A158" s="29" t="str">
        <x:v>supp:9cbef2ee9fecaca13ad240f1a0a2231286ed785f1e269c9fcc63e5ec5f8950dd</x:v>
      </x:c>
      <x:c r="B158" s="29" t="str">
        <x:v>fact</x:v>
      </x:c>
      <x:c r="C158" s="29" t="str">
        <x:v>0001232524-25-000063</x:v>
      </x:c>
      <x:c r="D158" s="29" t="str">
        <x:v>0001232524-25-000063</x:v>
      </x:c>
      <x:c r="E158" s="29" t="str">
        <x:v>2025-08-06</x:v>
      </x:c>
      <x:c r="F158" s="29" t="str">
        <x:v>SEC original exact-interval XBRL and reviewed statement; original precision retained, later rounded comparative not treated as restatement</x:v>
      </x:c>
      <x:c r="G158" s="29" t="str">
        <x:v>{"value": "Standard EBITDA: Net Income + Interest + Taxes + D&amp;A", "unit": "text", "scale": "1", "definition": "Source and actual EBITDA definition, including adjustments", "basis": "Standard EBITDA: Net Income + Interest + Taxes + D&amp;A", "excerpt": "[{\"tag\": \"NetIncomeLoss\", \"value\": \"-404841000\", \"observations\": {\"annual\": [{\"start\": \"2024-01-01\", \"end\": \"2024-12-31\", \"val\": 560120000, \"accn\": \"0001232524-25-000011\", \"fy\": 2024, \"fp\": \"FY\", \"form\": \"10-K\", \"filed\": \"2025-02-26\"}], \"current\": [{\"start\": \"2025-01-01\", \"end\": \"2025-06-30\", \"val\": -811011000, \"accn\": \"0001232524-25-000063\", \"fy\": 2025, \"fp\": \"Q2\", \"form\": \"10-Q\", \"filed\": \"2025-08-06\"}], \"prior\": [{\"start\": \"2024-01-01\", \"end\": \"2024-06-30\", \"val\": 153950000, \"accn\": \"0001232524-24-000068\", \"fy\": 2024, \"fp\": \"Q2\", \"form\": \"10-Q\", \"filed\": \"2024-08-01\"}]}}, {\"tag\": \"InterestIncomeExpenseNonoperatingNet\", \"value\": \"211027000\", \"observations\": {\"annual\": [{\"start\": \"2024-01-01\", \"end\": \"2024-12-31\", \"val\": -238097000, \"accn\": \"0001232524-25-000011\", \"fy\": 2024, \"fp\": \"FY\", \"form\": \"10-K\", \"filed\": \"2025-02-26\"}], \"current\": [{\"start\": \"2025-01-01\", \"end\": \"2025-06-30\", \"val\": -101069000, \"accn\": \"0001232524-25-000063\", \"fy\": 2025, \"fp\": \"Q2\", \"form\": \"10-Q\", \"filed\": \"2025-08-06\"}], \"prior\": [{\"start\": \"2024-01-01\", \"end\": \"2024-06-30\", \"val\": -128139000, \"accn\": \"0001232524-24-000068\", \"fy\": 2024, \"fp\": \"Q2\", \"form\": \"10-Q\", \"filed\": \"2024-08-01\"}]}}, {\"tag\": \"InvestmentIncomeInterest\", \"value\": \"104500000\", \"observations\": {\"annual\": [{\"start\": \"2024-01-01\", \"end\": \"2024-12-31\", \"val\": 106300000, \"accn\": \"0001232524-25-000011\", \"fy\": 2024, \"fp\": \"FY\", \"form\": \"10-K\", \"filed\": \"2025-02-26\"}], \"current\": [{\"start\": \"2025-01-01\", \"end\": \"2025-06-30\", \"val\": 46800000, \"accn\": \"0001232524-25-000063\", \"fy\": 2025, \"fp\": \"Q2\", \"form\": \"10-Q\", \"filed\": \"2025-08-06\"}], \"prior\": [{\"start\": \"2024-01-01\", \"end\": \"2024-06-30\", \"val\": 48600000, \"accn\": \"0001232524-24-000068\", \"fy\": 2024, \"fp\": \"Q2\", \"form\": \"10-Q\", \"filed\": \"2024-08-01\"}]}}, {\"tag\": \"IncomeTaxExpenseBenefit\", \"value\": \"-107427000\", \"observations\": {\"annual\": [{\"start\": \"2024-01-01\", \"end\": \"2024-12-31\", \"val\": -91429000, \"accn\": \"0001232524-25-000011\", \"fy\": 2024, \"fp\": \"FY\", \"form\": \"10-K\", \"filed\": \"2025-02-26\"}], \"current\": [{\"start\": \"2025-01-01\", \"end\": \"2025-06-30\", \"val\": -34982000, \"accn\": \"0001232524-25-000063\", \"fy\": 2025, \"fp\": \"Q2\", \"form\": \"10-Q\", \"filed\": \"2025-08-06\"}], \"prior\": [{\"start\": \"2024-01-01\", \"end\": \"2024-06-30\", \"val\": -18984000, \"accn\": \"0001232524-24-000068\", \"fy\": 2024, \"fp\": \"Q2\", \"form\": \"10-Q\", \"filed\": \"2024-08-01\"}]}}, {\"tag\": \"Depreciation\", \"value\": \"39620000\", \"observations\": {\"annual\": [{\"start\": \"2024-01-01\", \"end\": \"2024-12-31\", \"val\": 32754000, \"accn\": \"0001232524-25-000011\", \"fy\": 2024, \"fp\": \"FY\", \"form\": \"10-K\", \"filed\": \"2025-02-26\"}], \"current\": [{\"start\": \"2025-01-01\", \"end\": \"2025-06-30\", \"val\": 22331000, \"accn\": \"0001232524-25-000063\", \"fy\": 2025, \"fp\": \"Q2\", \"form\": \"10-Q\", \"filed\": \"2025-08-06\"}], \"prior\": [{\"start\": \"2024-01-01\", \"end\": \"2024-06-30\", \"val\": 15465000, \"accn\": \"0001232524-24-000068\", \"fy\": 2024, \"fp\": \"Q2\", \"form\": \"10-Q\", \"filed\": \"2024-08-01\"}]}}, {\"tag\": \"AmortizationOfIntangibleAssets\", \"value\": \"632911000\", \"observations\": {\"annual\": [{\"start\": \"2024-01-01\", \"end\": \"2024-12-31\", \"val\": 627313000, \"accn\": \"0001232524-25-000011\", \"fy\": 2024, \"fp\": \"FY\", \"form\": \"10-K\", \"filed\": \"2025-02-26\"}], \"current\": [{\"start\": \"2025-01-01\", \"end\": \"2025-06-30\", \"val\": 316551000, \"accn\": \"0001232524-25-000063\", \"fy\": 2025, \"fp\": \"Q2\", \"form\": \"10-Q\", \"filed\": \"2025-08-06\"}], \"prior\": [{\"start\": \"2024-01-01\", \"end\": \"2024-06-30\", \"val\": 310953000, \"accn\": \"0001232524-24-000068\", \"fy\": 2024, \"fp\": \"Q2\", \"form\": \"10-Q\", \"filed\": \"2024-08-01\"}]}}]", "source_url": "https://www.sec.gov/Archives/edgar/data/1232524/000123252425000063/jazz-20250630.htm", "reason": ""}</x:v>
      </x:c>
    </x:row>
    <x:row r="159" ht="406" customHeight="1">
      <x:c r="A159" s="29" t="str">
        <x:v>supp:2d0e5a745596b1c46b777ea1eb0109791febb67b6db418a2f83790f5b67fa97c</x:v>
      </x:c>
      <x:c r="B159" s="29" t="str">
        <x:v>fact</x:v>
      </x:c>
      <x:c r="C159" s="29" t="str">
        <x:v>0001232524-26-000013</x:v>
      </x:c>
      <x:c r="D159" s="29" t="str">
        <x:v>0001232524-26-000013</x:v>
      </x:c>
      <x:c r="E159" s="29" t="str">
        <x:v>2026-02-24</x:v>
      </x:c>
      <x:c r="F159" s="29" t="str">
        <x:v>SEC original exact-interval XBRL and reviewed statement; original precision retained, later rounded comparative not treated as restatement</x:v>
      </x:c>
      <x:c r="G159" s="29" t="str">
        <x:v>{"value": "Standard EBITDA: Net Income + Interest + Taxes + D&amp;A", "unit": "text", "scale": "1", "definition": "Source and actual EBITDA definition, including adjustments", "basis": "Standard EBITDA: Net Income + Interest + Taxes + D&amp;A", "excerpt": "[{\"tag\": \"NetIncomeLoss\", \"value\": \"-356148000\", \"observations\": [{\"start\": \"2025-01-01\", \"end\": \"2025-12-31\", \"val\": -356148000, \"accn\": \"0001232524-26-000013\", \"fy\": 2025, \"fp\": \"FY\", \"form\": \"10-K\", \"filed\": \"2026-02-24\"}]}, {\"tag\": \"InterestIncomeExpenseNonoperatingNet\", \"value\": \"195051000\", \"observations\": [{\"start\": \"2025-01-01\", \"end\": \"2025-12-31\", \"val\": -195051000, \"accn\": \"0001232524-26-000013\", \"fy\": 2025, \"fp\": \"FY\", \"form\": \"10-K\", \"filed\": \"2026-02-24\", \"frame\": \"CY2025\"}]}, {\"tag\": \"InvestmentIncomeInterest\", \"value\": \"85800000\", \"observations\": [{\"start\": \"2025-01-01\", \"end\": \"2025-12-31\", \"val\": 85800000, \"accn\": \"0001232524-26-000013\", \"fy\": 2025, \"fp\": \"FY\", \"form\": \"10-K\", \"filed\": \"2026-02-24\", \"frame\": \"CY2025\"}]}, {\"tag\": \"IncomeTaxExpenseBenefit\", \"value\": \"-272443000\", \"observations\": [{\"start\": \"2025-01-01\", \"end\": \"2025-12-31\", \"val\": -272443000, \"accn\": \"0001232524-26-000013\", \"fy\": 2025, \"fp\": \"FY\", \"form\": \"10-K\", \"filed\": \"2026-02-24\", \"frame\": \"CY2025\"}]}, {\"tag\": \"Depreciation\", \"value\": \"41636000\", \"observations\": [{\"start\": \"2025-01-01\", \"end\": \"2025-12-31\", \"val\": 41636000, \"accn\": \"0001232524-26-000013\", \"fy\": 2025, \"fp\": \"FY\", \"form\": \"10-K\", \"filed\": \"2026-02-24\", \"frame\": \"CY2025\"}]}, {\"tag\": \"AmortizationOfIntangibleAssets\", \"value\": \"654661000\", \"observations\": [{\"start\": \"2025-01-01\", \"end\": \"2025-12-31\", \"val\": 654661000, \"accn\": \"0001232524-26-000013\", \"fy\": 2025, \"fp\": \"FY\", \"form\": \"10-K\", \"filed\": \"2026-02-24\", \"frame\": \"CY2025\"}]}]", "source_url": "https://www.sec.gov/Archives/edgar/data/1232524/000123252426000013/jazz-20251231.htm", "reason": ""}</x:v>
      </x:c>
    </x:row>
    <x:row r="160" ht="868" customHeight="1">
      <x:c r="A160" s="29" t="str">
        <x:v>supp:04c7ae5c1ef94ab5334449c9a09f5617a12cf3c03b21680802ff8e20b2cb5a55</x:v>
      </x:c>
      <x:c r="B160" s="29" t="str">
        <x:v>fact</x:v>
      </x:c>
      <x:c r="C160" s="29" t="str">
        <x:v>0001232524-26-000045</x:v>
      </x:c>
      <x:c r="D160" s="29" t="str">
        <x:v>0001232524-26-000045</x:v>
      </x:c>
      <x:c r="E160" s="29" t="str">
        <x:v>2026-08-03</x:v>
      </x:c>
      <x:c r="F160" s="29" t="str">
        <x:v>SEC original exact-interval XBRL and reviewed statement; original precision retained, later rounded comparative not treated as restatement</x:v>
      </x:c>
      <x:c r="G160" s="29" t="str">
        <x:v>{"value": "Standard EBITDA: Net Income + Interest + Taxes + D&amp;A", "unit": "text", "scale": "1", "definition": "Source and actual EBITDA definition, including adjustments", "basis": "Standard EBITDA: Net Income + Interest + Taxes + D&amp;A", "excerpt": "[{\"tag\": \"NetIncomeLoss\", \"value\": \"940763000\", \"observations\": {\"annual\": [{\"start\": \"2025-01-01\", \"end\": \"2025-12-31\", \"val\": -356148000, \"accn\": \"0001232524-26-000013\", \"fy\": 2025, \"fp\": \"FY\", \"form\": \"10-K\", \"filed\": \"2026-02-24\"}], \"current\": [{\"start\": \"2026-01-01\", \"end\": \"2026-06-30\", \"val\": 485900000, \"accn\": \"0001232524-26-000045\", \"fy\": 2026, \"fp\": \"Q2\", \"form\": \"10-Q\", \"filed\": \"2026-08-03\"}], \"prior\": [{\"start\": \"2025-01-01\", \"end\": \"2025-06-30\", \"val\": -811011000, \"accn\": \"0001232524-25-000063\", \"fy\": 2025, \"fp\": \"Q2\", \"form\": \"10-Q\", \"filed\": \"2025-08-06\"}]}}, {\"tag\": \"InterestIncomeExpenseNonoperatingNet\", \"value\": \"170982000\", \"observations\": {\"annual\": [{\"start\": \"2025-01-01\", \"end\": \"2025-12-31\", \"val\": -195051000, \"accn\": \"0001232524-26-000013\", \"fy\": 2025, \"fp\": \"FY\", \"form\": \"10-K\", \"filed\": \"2026-02-24\", \"frame\": \"CY2025\"}], \"current\": [{\"start\": \"2026-01-01\", \"end\": \"2026-06-30\", \"val\": -77000000, \"accn\": \"0001232524-26-000045\", \"fy\": 2026, \"fp\": \"Q2\", \"form\": \"10-Q\", \"filed\": \"2026-08-03\"}], \"prior\": [{\"start\": \"2025-01-01\", \"end\": \"2025-06-30\", \"val\": -101069000, \"accn\": \"0001232524-25-000063\", \"fy\": 2025, \"fp\": \"Q2\", \"form\": \"10-Q\", \"filed\": \"2025-08-06\"}]}}, {\"tag\": \"InvestmentIncomeInterest\", \"value\": \"87700000\", \"observations\": {\"annual\": [{\"start\": \"2025-01-01\", \"end\": \"2025-12-31\", \"val\": 85800000, \"accn\": \"0001232524-26-000013\", \"fy\": 2025, \"fp\": \"FY\", \"form\": \"10-K\", \"filed\": \"2026-02-24\", \"frame\": \"CY2025\"}], \"current\": [{\"start\": \"2026-01-01\", \"end\": \"2026-06-30\", \"val\": 48700000, \"accn\": \"0001232524-26-000045\", \"fy\": 2026, \"fp\": \"Q2\", \"form\": \"10-Q\", \"filed\": \"2026-08-03\"}], \"prior\": [{\"start\": \"2025-01-01\", \"end\": \"2025-06-30\", \"val\": 46800000, \"accn\": \"0001232524-25-000063\", \"fy\": 2025, \"fp\": \"Q2\", \"form\": \"10-Q\", \"filed\": \"2025-08-06\"}]}}, {\"tag\": \"IncomeTaxExpenseBenefit\", \"value\": \"-213261000\", \"observations\": {\"annual\": [{\"start\": \"2025-01-01\", \"end\": \"2025-12-31\", \"val\": -272443000, \"accn\": \"0001232524-26-000013\", \"fy\": 2025, \"fp\": \"FY\", \"form\": \"10-K\", \"filed\": \"2026-02-24\", \"frame\": \"CY2025\"}], \"current\": [{\"start\": \"2026-01-01\", \"end\": \"2026-06-30\", \"val\": 24200000, \"accn\": \"0001232524-26-000045\", \"fy\": 2026, \"fp\": \"Q2\", \"form\": \"10-Q\", \"filed\": \"2026-08-03\"}], \"prior\": [{\"start\": \"2025-01-01\", \"end\": \"2025-06-30\", \"val\": -34982000, \"accn\": \"0001232524-25-000063\", \"fy\": 2025, \"fp\": \"Q2\", \"form\": \"10-Q\", \"filed\": \"2025-08-06\"}]}}, {\"tag\": \"Depreciation\", \"value\": \"37505000\", \"observations\": {\"annual\": [{\"start\": \"2025-01-01\", \"end\": \"2025-12-31\", \"val\": 41636000, \"accn\": \"0001232524-26-000013\", \"fy\": 2025, \"fp\": \"FY\", \"form\": \"10-K\", \"filed\": \"2026-02-24\", \"frame\": \"CY2025\"}], \"current\": [{\"start\": \"2026-01-01\", \"end\": \"2026-06-30\", \"val\": 18200000, \"accn\": \"0001232524-26-000045\", \"fy\": 2026, \"fp\": \"Q2\", \"form\": \"10-Q\", \"filed\": \"2026-08-03\"}], \"prior\": [{\"start\": \"2025-01-01\", \"end\": \"2025-06-30\", \"val\": 22331000, \"accn\": \"0001232524-25-000063\", \"fy\": 2025, \"fp\": \"Q2\", \"form\": \"10-Q\", \"filed\": \"2025-08-06\"}]}}, {\"tag\": \"AmortizationOfIntangibleAssets\", \"value\": \"680410000\", \"observations\": {\"annual\": [{\"start\": \"2025-01-01\", \"end\": \"2025-12-31\", \"val\": 654661000, \"accn\": \"0001232524-26-000013\", \"fy\": 2025, \"fp\": \"FY\", \"form\": \"10-K\", \"filed\": \"2026-02-24\", \"frame\": \"CY2025\"}], \"current\": [{\"start\": \"2026-01-01\", \"end\": \"2026-06-30\", \"val\": 342300000, \"accn\": \"0001232524-26-000045\", \"fy\": 2026, \"fp\": \"Q2\", \"form\": \"10-Q\", \"filed\": \"2026-08-03\"}], \"prior\": [{\"start\": \"2025-01-01\", \"end\": \"2025-06-30\", \"val\": 316551000, \"accn\": \"0001232524-25-000063\", \"fy\": 2025, \"fp\": \"Q2\", \"form\": \"10-Q\", \"filed\": \"2025-08-06\"}]}}]", "source_url": "https://www.sec.gov/Archives/edgar/data/1232524/000123252426000045/jazz-20260630.htm", "reason": ""}</x:v>
      </x:c>
    </x:row>
    <x:row r="161" ht="826" customHeight="1">
      <x:c r="A161" s="29" t="str">
        <x:v>supp:8e9fc0d586e6614cd3b4c5e6c12edc77f183136c6193fbc53d47ba4f8f03be5d</x:v>
      </x:c>
      <x:c r="B161" s="29" t="str">
        <x:v>fact</x:v>
      </x:c>
      <x:c r="C161" s="29" t="str">
        <x:v>0001232524-25-000011</x:v>
      </x:c>
      <x:c r="D161" s="29" t="str">
        <x:v>0001232524-25-000011</x:v>
      </x:c>
      <x:c r="E161" s="29" t="str">
        <x:v>2025-02-26</x:v>
      </x:c>
      <x:c r="F161" s="29" t="str">
        <x:v>Cash flow statement: exact depreciation PLUS intangible asset amortization; rounded PP&amp;E D&amp;A tag excluded; lease asset amortization already included, not added again</x:v>
      </x:c>
      <x:c r="G161" s="29" t="str">
        <x:v>{"value": "660067000", "unit": "USD", "scale": "1", "definition": "Verified source Depreciation &amp; Amortization", "basis": "", "excerpt": "JAZZ PHARMACEUTICALS PLC CONSOLIDATED STATEMENTS OF CASH FLOWS (In thousands) Year Ended December 31, 2024 2023 2022 Operating activities Net income (loss) $ 560,120 $ 414,832 $ ( 224,060 ) Adjustments to reconcile net income (loss) to net cash provided by operating activities: Intangible asset amortization 627,313 608,284 599,169 Share-based compensation 248,045 226,841 221,996 Acquisition accounting inventory fair value step-up adjustment 135,014 151,446 273,392 Depreciation 32,754 30,412 30,302 Provision for losses on accounts receivable and inventory 27,758 11,113 14,537 Non-cash interest expense 21,973 22,378 37,973 Acquired in-process research and development 10,000 19,000 444,148 Deferred tax benefit ( 208,327 ) ( 260,217 ) ( 292,251 ) Impairment of property, plant and equipment — 61,014 — Intangible asset impairment charge — — 133,648 Loss on disposal of a business — — 37,704 Other non-cash transactions 17,978 11,343 ( 14,486 ) Changes in assets and liabilities: Accounts receivable ( 21,115 ) ( 51,883 ) ( 90,135 ) Inventories ( 45,542 ) ( 13,420 ) ( 49,642 ) Prepaid expenses and other current assets 10,574 ( 126,179 ) 35,788 Operating lease assets 17,111 14,948 14,769 Other non-current assets ( 49,820 ) ( 15,884 ) ( 24,038 ) Accounts payable ( 20,073 ) 9,603 ( 11,225 ) Accrued liabilities 86,159 ( 23,245 ) 165,991 Income taxes payable ( 14,742 ) 25,220 ( 1,692 ) Deferred revenue — ( 463 ) ( 2,093 ) Operating lease liabilities, less current portion ( 24,741 ) ( 16,965 ) ( 16,422 ) Other non-current liabilities ( 14,531 ) ( 6,171 ) ( 11,396 ) Net cash provided by operating activities 1,395,908 1,092,007 1,271,977 Investing activities Acquisition of investments ( 1,305,125 ) ( 390,100 ) ( 61,036 ) Purchases of property, plant and equipment ( 38,070 ) ( 23,962 ) ( 29,046 ) Acquired in-process research and development ( 10,000 ) ( 19,000 ) ( 444,148 ) Proceeds from maturity of investments 845,000 270,000 60,000 Acquisition of intangible assets — — ( 25,000 ) Proceeds from sale of a business — — 53,000 Net cash used in investing activities ( 508,195 ) ( 163,062 ) ( 446,230 ) Financing activities Net proceeds from issuance of 2030 Notes 980,767 — — Proceeds from employee equity incentive and purchase plans 20,647 46,459 98,020 Payment of debt modification costs ( 5,716 ) — — Repayments of long-term debt ( 31,000 ) ( 31,000 ) ( 582,014 ) Payment of employee withholding taxes related to share-based awards ( 57,753 ) ( 50,952 ) ( 45,443 ) Share repurchases ( 311,429 ) ( 269,761 ) ( 54 ) Repayment of 2024 Notes ( 575,000 ) — — Net cash provided by (used in) financing activities 20,516 ( 305,254 ) ( 529,491 ) Effect of exchange rates on cash and cash equivalents ( 1,675 ) 1,137 ( 6,222 ) Net increase in cash and cash equivalents 906,554 624,828 290,034 Cash and cash equivalents, at beginning of period 1,506,310 881,482 591,448 Cash and cash equivalents, at end of period $ 2,412,864 $ 1,506,310 $ 881,482 F-8 Table of Contents JAZZ PHARMACEUTICALS PLC CONSOLIDATED STATEMENTS OF CASH FLOWS—(Continued) (In thousands) Year Ended December 31, 2024 2023 2022 Supplemental disclosure of cash flow information: Cash paid for interest $ 314,822 $ 333,112 $ 270,671 Cash paid for income taxes, net of refunds 114,907 177,880 94,681 \n{\"depreciation\": [{\"start\": \"2024-01-01\", \"end\": \"2024-12-31\", \"val\": 32754000, \"accn\": \"0001232524-25-000011\", \"fy\": 2024, \"fp\": \"FY\", \"form\": \"10-K\", \"filed\": \"2025-02-26\"}, {\"start\": \"2024-01-01\", \"end\": \"2024-12-31\", \"val\": 32754000, \"accn\": \"0001232524-26-000013\", \"fy\": 2025, \"fp\": \"FY\", \"form\": \"10-K\", \"filed\": \"2026-02-24\", \"frame\": \"CY2024\"}], \"intangible_amortization\": [{\"start\": \"2024-01-01\", \"end\": \"2024-12-31\", \"val\": 627313000, \"accn\": \"0001232524-25-000011\", \"fy\": 2024, \"fp\": \"FY\", \"form\": \"10-K\", \"filed\": \"2025-02-26\"}, {\"start\": \"2024-01-01\", \"end\": \"2024-12-31\", \"val\": 627313000, \"accn\": \"0001232524-26-000013\", \"fy\": 2025, \"fp\": \"FY\", \"form\": \"10-K\", \"filed\": \"2026-02-24\", \"frame\": \"CY2024\"}]}", "source_url": "https://www.sec.gov/Archives/edgar/data/1232524/000123252425000011/jazz-20241231.htm", "reason": ""}</x:v>
      </x:c>
    </x:row>
    <x:row r="162" ht="84" customHeight="1">
      <x:c r="A162" s="29" t="str">
        <x:v>supp:b547c7791fb21af0aee87e14c0b4a1c443e1ee2f5f7ccaa26aca35bace336882</x:v>
      </x:c>
      <x:c r="B162" s="29" t="str">
        <x:v>fact</x:v>
      </x:c>
      <x:c r="C162" s="29" t="str">
        <x:v>0001232524-25-000011</x:v>
      </x:c>
      <x:c r="D162" s="29" t="str">
        <x:v>0001232524-25-000011</x:v>
      </x:c>
      <x:c r="E162" s="29" t="str">
        <x:v>2025-02-26</x:v>
      </x:c>
      <x:c r="F162" s="29" t="str">
        <x:v>SEC original exact-interval XBRL and reviewed statement; original precision retained, later rounded comparative not treated as restatement</x:v>
      </x:c>
      <x:c r="G162" s="29" t="str">
        <x:v>{"value": "4629028000", "unit": "USD", "scale": "1", "definition": "Verified source Current Assets", "basis": "", "excerpt": "[{\"end\": \"2024-12-31\", \"val\": 4629028000, \"accn\": \"0001232524-25-000011\", \"fy\": 2024, \"fp\": \"FY\", \"form\": \"10-K\", \"filed\": \"2025-02-26\"}]", "source_url": "https://www.sec.gov/Archives/edgar/data/1232524/000123252425000011/jazz-20241231.htm", "reason": ""}</x:v>
      </x:c>
    </x:row>
    <x:row r="163" ht="84" customHeight="1">
      <x:c r="A163" s="29" t="str">
        <x:v>supp:c952dd412375d5f0ff78b77ba7b6e45a602968f5fb1cac828ce4df21f71b7969</x:v>
      </x:c>
      <x:c r="B163" s="29" t="str">
        <x:v>fact</x:v>
      </x:c>
      <x:c r="C163" s="29" t="str">
        <x:v>0001232524-25-000011</x:v>
      </x:c>
      <x:c r="D163" s="29" t="str">
        <x:v>0001232524-25-000011</x:v>
      </x:c>
      <x:c r="E163" s="29" t="str">
        <x:v>2025-02-26</x:v>
      </x:c>
      <x:c r="F163" s="29" t="str">
        <x:v>SEC original exact-interval XBRL and reviewed statement; original precision retained, later rounded comparative not treated as restatement</x:v>
      </x:c>
      <x:c r="G163" s="29" t="str">
        <x:v>{"value": "1038573000", "unit": "USD", "scale": "1", "definition": "Verified source Current Liabilities", "basis": "", "excerpt": "[{\"end\": \"2024-12-31\", \"val\": 1038573000, \"accn\": \"0001232524-25-000011\", \"fy\": 2024, \"fp\": \"FY\", \"form\": \"10-K\", \"filed\": \"2025-02-26\"}]", "source_url": "https://www.sec.gov/Archives/edgar/data/1232524/000123252425000011/jazz-20241231.htm", "reason": ""}</x:v>
      </x:c>
    </x:row>
    <x:row r="164" ht="420" customHeight="1">
      <x:c r="A164" s="29" t="str">
        <x:v>supp:0c101460a42c294766cdf89aff5367aadc90ee489368e1512e357b40d536ca3b</x:v>
      </x:c>
      <x:c r="B164" s="29" t="str">
        <x:v>fact</x:v>
      </x:c>
      <x:c r="C164" s="29" t="str">
        <x:v>0001232524-25-000011</x:v>
      </x:c>
      <x:c r="D164" s="29" t="str">
        <x:v>0001232524-25-000011</x:v>
      </x:c>
      <x:c r="E164" s="29" t="str">
        <x:v>2025-02-26</x:v>
      </x:c>
      <x:c r="F164" s="29" t="str">
        <x:v>Cash + current time-deposit investments + NET trade receivables; no duplicated securities included in cash; exclude inventory/prepaids/other current assets</x:v>
      </x:c>
      <x:c r="G164" s="29" t="str">
        <x:v>{"value": "3709629000", "unit": "USD", "scale": "1", "definition": "Verified source Quick Assets", "basis": "", "excerpt": "JAZZ PHARMACEUTICALS PLC CONSOLIDATED BALANCE SHEETS (In thousands, except per share amounts) December 31, 2024 2023 ASSETS Current assets: Cash and cash equivalents $ 2,412,864 $ 1,506,310 Investments 580,000 120,000 Accounts receivable, net of allowances of $ 32,691 and $ 21,136 at December 31, 2024 and 2023, respectively 716,765 705,794 Inventories 480,445 597,039 Prepaid expenses 177,411 185,476 Other current assets 261,543 320,809 Total current assets 4,629,028 3,435,428 Property, plant and equipment, net 173,413 169,646 Operating lease assets 53,582 65,340 Intangible assets, net 4,755,695 5,418,039 Goodwill 1,716,323 1,753,130 Deferred tax assets, net 560,245 477,834 Deferred financing costs 9,489 6,478 Other non-current assets 114,482 67,464 Total assets $ 12,012,257 $ 11,393,359 LIABILITIES AND SHAREHOLDERS’ EQUITY Current liabilities: Accounts payable $ 77,869 $ 102,750 Accrued liabilities 910,947 793,914 Current portion of long-term debt 31,000 604,954 Income taxes payable 18,757 35,074 Total current liabilities 1,038,573 1,536,692 Long-term debt, less current portion 6,077,640 5,107,988 Operating lease liabilities, less current portion 38,938 59,225 Deferred tax liabilities, net 676,736 847,706 Other non-current liabilities 86,614 104,751 Commitments and contingencies (Note 13) Shareholders’ equity: Ordinary shares, nominal value $ 0.0001 per share; 300,000 shares authorized; 60,631 and 62,255 shares issued and outstanding at December 31, 2024 and 2023, respectively 6 6 Non-voting euro deferred shares, € 0.01 par value per share; 4,000 shares authorized, issued and outstanding at both December 31, 2024 and 2023 55 55 Capital redemption reserve 473 473 Additional paid-in capital 3,913,542 3,699,954 Accumulated other comprehensive loss ( 947,667 ) ( 842,147 ) Retained earnings 1,127,347 878,656 Total shareholders’ equity 4,093,756 3,736,997 Total liabilities and shareholders’ equity $ 12,012,257 $ 11,393,359 ", "source_url": "https://www.sec.gov/Archives/edgar/data/1232524/000123252425000011/jazz-20241231.htm", "reason": ""}</x:v>
      </x:c>
    </x:row>
    <x:row r="165" ht="420" customHeight="1">
      <x:c r="A165" s="29" t="str">
        <x:v>supp:df6144256fb02b50f57c3bde1c702003382aa9f8df4547977a3b2b9040e4aa98</x:v>
      </x:c>
      <x:c r="B165" s="29" t="str">
        <x:v>fact</x:v>
      </x:c>
      <x:c r="C165" s="29" t="str">
        <x:v>0001232524-25-000011</x:v>
      </x:c>
      <x:c r="D165" s="29" t="str">
        <x:v>0001232524-25-000011</x:v>
      </x:c>
      <x:c r="E165" s="29" t="str">
        <x:v>2025-02-26</x:v>
      </x:c>
      <x:c r="F165" s="29" t="str">
        <x:v>Balance sheet complete consolidated shareholders equity; no separate NCI equity presented</x:v>
      </x:c>
      <x:c r="G165" s="29" t="str">
        <x:v>{"value": "4093756000", "unit": "USD", "scale": "1", "definition": "Verified source Net Worth", "basis": "", "excerpt": "JAZZ PHARMACEUTICALS PLC CONSOLIDATED BALANCE SHEETS (In thousands, except per share amounts) December 31, 2024 2023 ASSETS Current assets: Cash and cash equivalents $ 2,412,864 $ 1,506,310 Investments 580,000 120,000 Accounts receivable, net of allowances of $ 32,691 and $ 21,136 at December 31, 2024 and 2023, respectively 716,765 705,794 Inventories 480,445 597,039 Prepaid expenses 177,411 185,476 Other current assets 261,543 320,809 Total current assets 4,629,028 3,435,428 Property, plant and equipment, net 173,413 169,646 Operating lease assets 53,582 65,340 Intangible assets, net 4,755,695 5,418,039 Goodwill 1,716,323 1,753,130 Deferred tax assets, net 560,245 477,834 Deferred financing costs 9,489 6,478 Other non-current assets 114,482 67,464 Total assets $ 12,012,257 $ 11,393,359 LIABILITIES AND SHAREHOLDERS’ EQUITY Current liabilities: Accounts payable $ 77,869 $ 102,750 Accrued liabilities 910,947 793,914 Current portion of long-term debt 31,000 604,954 Income taxes payable 18,757 35,074 Total current liabilities 1,038,573 1,536,692 Long-term debt, less current portion 6,077,640 5,107,988 Operating lease liabilities, less current portion 38,938 59,225 Deferred tax liabilities, net 676,736 847,706 Other non-current liabilities 86,614 104,751 Commitments and contingencies (Note 13) Shareholders’ equity: Ordinary shares, nominal value $ 0.0001 per share; 300,000 shares authorized; 60,631 and 62,255 shares issued and outstanding at December 31, 2024 and 2023, respectively 6 6 Non-voting euro deferred shares, € 0.01 par value per share; 4,000 shares authorized, issued and outstanding at both December 31, 2024 and 2023 55 55 Capital redemption reserve 473 473 Additional paid-in capital 3,913,542 3,699,954 Accumulated other comprehensive loss ( 947,667 ) ( 842,147 ) Retained earnings 1,127,347 878,656 Total shareholders’ equity 4,093,756 3,736,997 Total liabilities and shareholders’ equity $ 12,012,257 $ 11,393,359 ", "source_url": "https://www.sec.gov/Archives/edgar/data/1232524/000123252425000011/jazz-20241231.htm", "reason": ""}</x:v>
      </x:c>
    </x:row>
    <x:row r="166" ht="462" customHeight="1">
      <x:c r="A166" s="29" t="str">
        <x:v>supp:7b3a15ad7bb844887ec64b908b1a02bb9f7f7207db0492282a8336d4a78d1c00</x:v>
      </x:c>
      <x:c r="B166" s="29" t="str">
        <x:v>fact</x:v>
      </x:c>
      <x:c r="C166" s="29" t="str">
        <x:v>0001232524-25-000011</x:v>
      </x:c>
      <x:c r="D166" s="29" t="str">
        <x:v>0001232524-25-000011</x:v>
      </x:c>
      <x:c r="E166" s="29" t="str">
        <x:v>2025-02-26</x:v>
      </x:c>
      <x:c r="F166" s="29" t="str">
        <x:v>Sum all face-statement current/noncurrent liability subtotals, independently checked against Assets - total equity</x:v>
      </x:c>
      <x:c r="G166" s="29" t="str">
        <x:v>{"value": "7918501000", "unit": "USD", "scale": "1", "definition": "Verified source Total Liabilities", "basis": "", "excerpt": "JAZZ PHARMACEUTICALS PLC CONSOLIDATED BALANCE SHEETS (In thousands, except per share amounts) December 31, 2024 2023 ASSETS Current assets: Cash and cash equivalents $ 2,412,864 $ 1,506,310 Investments 580,000 120,000 Accounts receivable, net of allowances of $ 32,691 and $ 21,136 at December 31, 2024 and 2023, respectively 716,765 705,794 Inventories 480,445 597,039 Prepaid expenses 177,411 185,476 Other current assets 261,543 320,809 Total current assets 4,629,028 3,435,428 Property, plant and equipment, net 173,413 169,646 Operating lease assets 53,582 65,340 Intangible assets, net 4,755,695 5,418,039 Goodwill 1,716,323 1,753,130 Deferred tax assets, net 560,245 477,834 Deferred financing costs 9,489 6,478 Other non-current assets 114,482 67,464 Total assets $ 12,012,257 $ 11,393,359 LIABILITIES AND SHAREHOLDERS’ EQUITY Current liabilities: Accounts payable $ 77,869 $ 102,750 Accrued liabilities 910,947 793,914 Current portion of long-term debt 31,000 604,954 Income taxes payable 18,757 35,074 Total current liabilities 1,038,573 1,536,692 Long-term debt, less current portion 6,077,640 5,107,988 Operating lease liabilities, less current portion 38,938 59,225 Deferred tax liabilities, net 676,736 847,706 Other non-current liabilities 86,614 104,751 Commitments and contingencies (Note 13) Shareholders’ equity: Ordinary shares, nominal value $ 0.0001 per share; 300,000 shares authorized; 60,631 and 62,255 shares issued and outstanding at December 31, 2024 and 2023, respectively 6 6 Non-voting euro deferred shares, € 0.01 par value per share; 4,000 shares authorized, issued and outstanding at both December 31, 2024 and 2023 55 55 Capital redemption reserve 473 473 Additional paid-in capital 3,913,542 3,699,954 Accumulated other comprehensive loss ( 947,667 ) ( 842,147 ) Retained earnings 1,127,347 878,656 Total shareholders’ equity 4,093,756 3,736,997 Total liabilities and shareholders’ equity $ 12,012,257 $ 11,393,359 \n{\"LiabilitiesCurrent\": \"1038573000\", \"LongTermDebtNoncurrent\": \"6077640000\", \"OperatingLeaseLiabilityNoncurrent\": \"38938000\", \"DeferredIncomeTaxLiabilitiesNet\": \"676736000\", \"OtherLiabilitiesNoncurrent\": \"86614000\"}", "source_url": "https://www.sec.gov/Archives/edgar/data/1232524/000123252425000011/jazz-20241231.htm", "reason": ""}</x:v>
      </x:c>
    </x:row>
    <x:row r="167" ht="84" customHeight="1">
      <x:c r="A167" s="29" t="str">
        <x:v>supp:52b6c8a1c4269835331c51723d20a3470366460242f95477df88d3509ab2baeb</x:v>
      </x:c>
      <x:c r="B167" s="29" t="str">
        <x:v>fact</x:v>
      </x:c>
      <x:c r="C167" s="29" t="str">
        <x:v>0001232524-25-000063</x:v>
      </x:c>
      <x:c r="D167" s="29" t="str">
        <x:v>0001232524-25-000063</x:v>
      </x:c>
      <x:c r="E167" s="29" t="str">
        <x:v>2025-08-06</x:v>
      </x:c>
      <x:c r="F167" s="29" t="str">
        <x:v>SEC original exact-interval XBRL and reviewed statement; original precision retained, later rounded comparative not treated as restatement</x:v>
      </x:c>
      <x:c r="G167" s="29" t="str">
        <x:v>{"value": "3350433000", "unit": "USD", "scale": "1", "definition": "Verified source Current Assets", "basis": "", "excerpt": "[{\"end\": \"2025-06-30\", \"val\": 3350433000, \"accn\": \"0001232524-25-000063\", \"fy\": 2025, \"fp\": \"Q2\", \"form\": \"10-Q\", \"filed\": \"2025-08-06\", \"frame\": \"CY2025Q2I\"}]", "source_url": "https://www.sec.gov/Archives/edgar/data/1232524/000123252425000063/jazz-20250630.htm", "reason": ""}</x:v>
      </x:c>
    </x:row>
    <x:row r="168" ht="84" customHeight="1">
      <x:c r="A168" s="29" t="str">
        <x:v>supp:de7031bc4b23ddd3f9a1efc245fae1249c901c4bdfb092c120ca8d2ad3cb2423</x:v>
      </x:c>
      <x:c r="B168" s="29" t="str">
        <x:v>fact</x:v>
      </x:c>
      <x:c r="C168" s="29" t="str">
        <x:v>0001232524-25-000063</x:v>
      </x:c>
      <x:c r="D168" s="29" t="str">
        <x:v>0001232524-25-000063</x:v>
      </x:c>
      <x:c r="E168" s="29" t="str">
        <x:v>2025-08-06</x:v>
      </x:c>
      <x:c r="F168" s="29" t="str">
        <x:v>SEC original exact-interval XBRL and reviewed statement; original precision retained, later rounded comparative not treated as restatement</x:v>
      </x:c>
      <x:c r="G168" s="29" t="str">
        <x:v>{"value": "2071205000", "unit": "USD", "scale": "1", "definition": "Verified source Current Liabilities", "basis": "", "excerpt": "[{\"end\": \"2025-06-30\", \"val\": 2071205000, \"accn\": \"0001232524-25-000063\", \"fy\": 2025, \"fp\": \"Q2\", \"form\": \"10-Q\", \"filed\": \"2025-08-06\", \"frame\": \"CY2025Q2I\"}]", "source_url": "https://www.sec.gov/Archives/edgar/data/1232524/000123252425000063/jazz-20250630.htm", "reason": ""}</x:v>
      </x:c>
    </x:row>
    <x:row r="169" ht="182" customHeight="1">
      <x:c r="A169" s="29" t="str">
        <x:v>supp:4702b7d7ccc5ac183be4c23f3d29aedbbb3452b6da975368011be546cb25ac3a</x:v>
      </x:c>
      <x:c r="B169" s="29" t="str">
        <x:v>fact</x:v>
      </x:c>
      <x:c r="C169" s="29" t="str">
        <x:v>0001232524-25-000063</x:v>
      </x:c>
      <x:c r="D169" s="29" t="str">
        <x:v>0001232524-25-000063</x:v>
      </x:c>
      <x:c r="E169" s="29" t="str">
        <x:v>2025-08-06</x:v>
      </x:c>
      <x:c r="F169" s="29" t="str">
        <x:v>SEC original exact-interval XBRL and reviewed statement; original precision retained, later rounded comparative not treated as restatement</x:v>
      </x:c>
      <x:c r="G169" s="29" t="str">
        <x:v>{"value": "2383884000", "unit": "USD", "scale": "1", "definition": "Verified source Quick Assets", "basis": "", "excerpt": "{\"cash\": [{\"end\": \"2025-06-30\", \"val\": 1189880000, \"accn\": \"0001232524-25-000063\", \"fy\": 2025, \"fp\": \"Q2\", \"form\": \"10-Q\", \"filed\": \"2025-08-06\", \"frame\": \"CY2025Q2I\"}], \"receivables\": [{\"end\": \"2025-06-30\", \"val\": 714004000, \"accn\": \"0001232524-25-000063\", \"fy\": 2025, \"fp\": \"Q2\", \"form\": \"10-Q\", \"filed\": \"2025-08-06\", \"frame\": \"CY2025Q2I\"}], \"time_deposits\": [{\"end\": \"2025-06-30\", \"val\": 480000000, \"accn\": \"0001232524-25-000063\", \"fy\": 2025, \"fp\": \"Q2\", \"form\": \"10-Q\", \"filed\": \"2025-08-06\", \"frame\": \"CY2025Q2I\"}]}; excludes inventory, prepayments, other assets; time deposits separate from cash", "source_url": "https://www.sec.gov/Archives/edgar/data/1232524/000123252425000063/jazz-20250630.htm", "reason": ""}</x:v>
      </x:c>
    </x:row>
    <x:row r="170" ht="84" customHeight="1">
      <x:c r="A170" s="29" t="str">
        <x:v>supp:ca908feceec05871537554d1b7bba690c789ad299aa4f39fc702adce6d8bd43d</x:v>
      </x:c>
      <x:c r="B170" s="29" t="str">
        <x:v>fact</x:v>
      </x:c>
      <x:c r="C170" s="29" t="str">
        <x:v>0001232524-25-000063</x:v>
      </x:c>
      <x:c r="D170" s="29" t="str">
        <x:v>0001232524-25-000063</x:v>
      </x:c>
      <x:c r="E170" s="29" t="str">
        <x:v>2025-08-06</x:v>
      </x:c>
      <x:c r="F170" s="29" t="str">
        <x:v>SEC original exact-interval XBRL and reviewed statement; original precision retained, later rounded comparative not treated as restatement</x:v>
      </x:c>
      <x:c r="G170" s="29" t="str">
        <x:v>{"value": "3706359000", "unit": "USD", "scale": "1", "definition": "Verified source Net Worth", "basis": "", "excerpt": "[{\"end\": \"2025-06-30\", \"val\": 3706359000, \"accn\": \"0001232524-25-000063\", \"fy\": 2025, \"fp\": \"Q2\", \"form\": \"10-Q\", \"filed\": \"2025-08-06\"}]", "source_url": "https://www.sec.gov/Archives/edgar/data/1232524/000123252425000063/jazz-20250630.htm", "reason": ""}</x:v>
      </x:c>
    </x:row>
    <x:row r="171" ht="252" customHeight="1">
      <x:c r="A171" s="29" t="str">
        <x:v>supp:8bb6a2d57b3e164677e79e8ce5ab8d50559c72a0989b608be1a1f647c7aa73ad</x:v>
      </x:c>
      <x:c r="B171" s="29" t="str">
        <x:v>fact</x:v>
      </x:c>
      <x:c r="C171" s="29" t="str">
        <x:v>0001232524-25-000063</x:v>
      </x:c>
      <x:c r="D171" s="29" t="str">
        <x:v>0001232524-25-000063</x:v>
      </x:c>
      <x:c r="E171" s="29" t="str">
        <x:v>2025-08-06</x:v>
      </x:c>
      <x:c r="F171" s="29" t="str">
        <x:v>SEC original exact-interval XBRL and reviewed statement; original precision retained, later rounded comparative not treated as restatement</x:v>
      </x:c>
      <x:c r="G171" s="29" t="str">
        <x:v>{"value": "7237782000", "unit": "USD", "scale": "1", "definition": "Verified source Total Liabilities", "basis": "", "excerpt": "[[{\"end\": \"2025-06-30\", \"val\": 2071205000, \"accn\": \"0001232524-25-000063\", \"fy\": 2025, \"fp\": \"Q2\", \"form\": \"10-Q\", \"filed\": \"2025-08-06\", \"frame\": \"CY2025Q2I\"}], [{\"end\": \"2025-06-30\", \"val\": 4335616000, \"accn\": \"0001232524-25-000063\", \"fy\": 2025, \"fp\": \"Q2\", \"form\": \"10-Q\", \"filed\": \"2025-08-06\", \"frame\": \"CY2025Q2I\"}], [{\"end\": \"2025-06-30\", \"val\": 55107000, \"accn\": \"0001232524-25-000063\", \"fy\": 2025, \"fp\": \"Q2\", \"form\": \"10-Q\", \"filed\": \"2025-08-06\", \"frame\": \"CY2025Q2I\"}], [{\"end\": \"2025-06-30\", \"val\": 682123000, \"accn\": \"0001232524-25-000063\", \"fy\": 2025, \"fp\": \"Q2\", \"form\": \"10-Q\", \"filed\": \"2025-08-06\", \"frame\": \"CY2025Q2I\"}], [{\"end\": \"2025-06-30\", \"val\": 93731000, \"accn\": \"0001232524-25-000063\", \"fy\": 2025, \"fp\": \"Q2\", \"form\": \"10-Q\", \"filed\": \"2025-08-06\", \"frame\": \"CY2025Q2I\"}]]; sum all balance-sheet liability subtotals; independently checked liabilities + equity = assets", "source_url": "https://www.sec.gov/Archives/edgar/data/1232524/000123252425000063/jazz-20250630.htm", "reason": ""}</x:v>
      </x:c>
    </x:row>
    <x:row r="172" ht="672" customHeight="1">
      <x:c r="A172" s="29" t="str">
        <x:v>supp:451f949f2110ca3ef894caa3f1866ec885de6177b8c8e22ad2b4485c4fec77ed</x:v>
      </x:c>
      <x:c r="B172" s="29" t="str">
        <x:v>fact</x:v>
      </x:c>
      <x:c r="C172" s="29" t="str">
        <x:v>0001232524-26-000013</x:v>
      </x:c>
      <x:c r="D172" s="29" t="str">
        <x:v>0001232524-26-000013</x:v>
      </x:c>
      <x:c r="E172" s="29" t="str">
        <x:v>2026-02-24</x:v>
      </x:c>
      <x:c r="F172" s="29" t="str">
        <x:v>Cash flow statement: exact depreciation PLUS intangible asset amortization; rounded PP&amp;E D&amp;A tag excluded; lease asset amortization already included, not added again</x:v>
      </x:c>
      <x:c r="G172" s="29" t="str">
        <x:v>{"value": "696297000", "unit": "USD", "scale": "1", "definition": "Verified source Depreciation &amp; Amortization", "basis": "", "excerpt": "JAZZ PHARMACEUTICALS PLC CONSOLIDATED STATEMENTS OF CASH FLOWS (In thousands) Year Ended December 31, 2025 2024 2023 Operating activities Net income (loss) $ ( 356,148 ) $ 560,120 $ 414,832 Adjustments to reconcile net income (loss) to net cash provided by operating activities: Acquired in-process research and development 947,862 10,000 19,000 Intangible asset amortization 654,661 627,313 608,284 Share-based compensation 291,133 248,045 226,841 Acquisition accounting inventory fair value step-up adjustment 147,948 135,014 151,446 Depreciation 41,636 32,754 30,412 Non-cash interest expense 32,542 21,973 22,378 Provision for losses on accounts receivable and inventory 19,108 27,758 11,113 Deferred tax benefit ( 444,971 ) ( 208,327 ) ( 260,217 ) Impairment of property, plant and equipment — — 61,014 Other non-cash transactions 3,103 17,978 11,343 Changes in assets and liabilities: Accounts receivable ( 106,279 ) ( 21,115 ) ( 51,883 ) Inventories ( 86,041 ) ( 45,542 ) ( 13,420 ) Prepaid expenses and other assets 29,030 ( 22,135 ) ( 127,115 ) Accounts payable 39,851 ( 20,073 ) 9,603 Accrued liabilities 77,096 86,159 ( 23,245 ) Income taxes payable 37,224 ( 14,742 ) 25,220 Other liabilities 28,018 ( 39,272 ) ( 23,599 ) Net cash provided by operating activities 1,355,773 1,395,908 1,092,007 Investing activities Acquisition of investments ( 1,830,275 ) ( 1,305,125 ) ( 390,100 ) Asset acquisition, net of cash acquired ( 858,053 ) — — Acquisition of intangible assets ( 108,500 ) — — Purchases of property, plant and equipment ( 58,752 ) ( 38,070 ) ( 23,962 ) Acquired in-process research and development ( 42,500 ) ( 10,000 ) ( 19,000 ) Proceeds from sale of an asset 28,167 — — Proceeds from maturity of investments 1,360,000 845,000 270,000 Net cash used in investing activities ( 1,509,913 ) ( 508,195 ) ( 163,062 ) Financing activities Repayments of long-term debt ( 781,000 ) ( 31,000 ) ( 31,000 ) Share repurchases ( 125,023 ) ( 311,429 ) ( 269,761 ) Payment of employee withholding taxes related to share-based awards ( 75,220 ) ( 57,753 ) ( 50,952 ) Proceeds from employee equity incentive and purchase plans 107,863 20,647 46,459 Repayment of 2024 Notes — ( 575,000 ) — Payment of debt modification costs — ( 5,716 ) — Net proceeds from issuance of 2030 Notes — 980,767 — Net cash provided by (used in) financing activities ( 873,380 ) 20,516 ( 305,254 ) Effect of exchange rates on cash and cash equivalents 6,555 ( 1,675 ) 1,137 Net increase (decrease) in cash and cash equivalents ( 1,020,965 ) 906,554 624,828 Cash and cash equivalents, at beginning of period 2,412,864 1,506,310 881,482 Cash and cash equivalents, at end of period $ 1,391,899 $ 2,412,864 $ 1,506,310 Supplemental disclosure of cash flow information: Cash paid for interest $ 248,553 $ 314,822 $ 333,112 Cash paid for income taxes, net of refunds 121,808 114,907 177,880 \n{\"depreciation\": [{\"start\": \"2025-01-01\", \"end\": \"2025-12-31\", \"val\": 41636000, \"accn\": \"0001232524-26-000013\", \"fy\": 2025, \"fp\": \"FY\", \"form\": \"10-K\", \"filed\": \"2026-02-24\", \"frame\": \"CY2025\"}], \"intangible_amortization\": [{\"start\": \"2025-01-01\", \"end\": \"2025-12-31\", \"val\": 654661000, \"accn\": \"0001232524-26-000013\", \"fy\": 2025, \"fp\": \"FY\", \"form\": \"10-K\", \"filed\": \"2026-02-24\", \"frame\": \"CY2025\"}]}", "source_url": "https://www.sec.gov/Archives/edgar/data/1232524/000123252426000013/jazz-20251231.htm", "reason": ""}</x:v>
      </x:c>
    </x:row>
    <x:row r="173" ht="84" customHeight="1">
      <x:c r="A173" s="29" t="str">
        <x:v>supp:7923c2ee879311ab0fae26333cf4e2f54f762417ed623b01bd14790a83e71685</x:v>
      </x:c>
      <x:c r="B173" s="29" t="str">
        <x:v>fact</x:v>
      </x:c>
      <x:c r="C173" s="29" t="str">
        <x:v>0001232524-26-000013</x:v>
      </x:c>
      <x:c r="D173" s="29" t="str">
        <x:v>0001232524-26-000013</x:v>
      </x:c>
      <x:c r="E173" s="29" t="str">
        <x:v>2026-02-24</x:v>
      </x:c>
      <x:c r="F173" s="29" t="str">
        <x:v>SEC original exact-interval XBRL and reviewed statement; original precision retained, later rounded comparative not treated as restatement</x:v>
      </x:c>
      <x:c r="G173" s="29" t="str">
        <x:v>{"value": "4166043000", "unit": "USD", "scale": "1", "definition": "Verified source Current Assets", "basis": "", "excerpt": "[{\"end\": \"2025-12-31\", \"val\": 4166043000, \"accn\": \"0001232524-26-000013\", \"fy\": 2025, \"fp\": \"FY\", \"form\": \"10-K\", \"filed\": \"2026-02-24\"}]", "source_url": "https://www.sec.gov/Archives/edgar/data/1232524/000123252426000013/jazz-20251231.htm", "reason": ""}</x:v>
      </x:c>
    </x:row>
    <x:row r="174" ht="84" customHeight="1">
      <x:c r="A174" s="29" t="str">
        <x:v>supp:1a7190c251e6d5c0347319b0e0ac0fcece1432ec8d68be0f1c2e4cfce957600a</x:v>
      </x:c>
      <x:c r="B174" s="29" t="str">
        <x:v>fact</x:v>
      </x:c>
      <x:c r="C174" s="29" t="str">
        <x:v>0001232524-26-000013</x:v>
      </x:c>
      <x:c r="D174" s="29" t="str">
        <x:v>0001232524-26-000013</x:v>
      </x:c>
      <x:c r="E174" s="29" t="str">
        <x:v>2026-02-24</x:v>
      </x:c>
      <x:c r="F174" s="29" t="str">
        <x:v>SEC original exact-interval XBRL and reviewed statement; original precision retained, later rounded comparative not treated as restatement</x:v>
      </x:c>
      <x:c r="G174" s="29" t="str">
        <x:v>{"value": "2242521000", "unit": "USD", "scale": "1", "definition": "Verified source Current Liabilities", "basis": "", "excerpt": "[{\"end\": \"2025-12-31\", \"val\": 2242521000, \"accn\": \"0001232524-26-000013\", \"fy\": 2025, \"fp\": \"FY\", \"form\": \"10-K\", \"filed\": \"2026-02-24\"}]", "source_url": "https://www.sec.gov/Archives/edgar/data/1232524/000123252426000013/jazz-20251231.htm", "reason": ""}</x:v>
      </x:c>
    </x:row>
    <x:row r="175" ht="420" customHeight="1">
      <x:c r="A175" s="29" t="str">
        <x:v>supp:97c1f14b8463cc2d638aea430c2367c17ee66ec97ad559950a5b076d60d879c2</x:v>
      </x:c>
      <x:c r="B175" s="29" t="str">
        <x:v>fact</x:v>
      </x:c>
      <x:c r="C175" s="29" t="str">
        <x:v>0001232524-26-000013</x:v>
      </x:c>
      <x:c r="D175" s="29" t="str">
        <x:v>0001232524-26-000013</x:v>
      </x:c>
      <x:c r="E175" s="29" t="str">
        <x:v>2026-02-24</x:v>
      </x:c>
      <x:c r="F175" s="29" t="str">
        <x:v>Cash + current time-deposit investments + NET trade receivables; no duplicated securities included in cash; exclude inventory/prepaids/other current assets</x:v>
      </x:c>
      <x:c r="G175" s="29" t="str">
        <x:v>{"value": "3272646000", "unit": "USD", "scale": "1", "definition": "Verified source Quick Assets", "basis": "", "excerpt": "JAZZ PHARMACEUTICALS PLC CONSOLIDATED BALANCE SHEETS (In thousands, except per share amounts) December 31, 2025 2024 ASSETS Current assets: Cash and cash equivalents $ 1,391,899 $ 2,412,864 Investments 1,050,000 580,000 Accounts receivable, net of allowances of $ 17,294 and $ 32,691 at December 31, 2025 and 2024, respectively 830,747 716,765 Inventories 416,962 480,445 Prepaid expenses 152,481 177,411 Other current assets 323,954 261,543 Total current assets 4,166,043 4,629,028 Property, plant and equipment, net 199,857 173,413 Operating lease assets 58,880 53,582 Intangible assets, net 4,429,510 4,755,695 Goodwill 1,829,340 1,716,323 Deferred tax assets, net 869,130 560,245 Deferred financing costs 7,550 9,489 Other non-current assets 99,030 114,482 Total assets $ 11,659,340 $ 12,012,257 LIABILITIES AND SHAREHOLDERS’ EQUITY Current liabilities: Accounts payable $ 122,061 $ 77,869 Accrued liabilities 1,034,170 910,947 Current portion of long-term debt 1,029,903 31,000 Income taxes payable 56,387 18,757 Total current liabilities 2,242,521 1,038,573 Long-term debt, less current portion 4,328,354 6,077,640 Operating lease liabilities, less current portion 50,892 38,938 Deferred tax liabilities, net 594,470 676,736 Other non-current liabilities 124,519 86,614 Commitments and contingencies (Note 13) Shareholders’ equity: Ordinary shares, nominal value $ 0.0001 per share; 300,000 shares authorized; 61,435 and 60,631 shares issued and outstanding at December 31, 2025 and 2024, respectively 6 6 Non-voting euro deferred shares, € 0.01 par value per share; 4,000 shares authorized, issued and outstanding at both December 31, 2025 and 2024 55 55 Capital redemption reserve 473 473 Additional paid-in capital 4,240,472 3,913,542 Accumulated other comprehensive loss ( 568,598 ) ( 947,667 ) Retained earnings 646,176 1,127,347 Total shareholders’ equity 4,318,584 4,093,756 Total liabilities and shareholders’ equity $ 11,659,340 $ 12,012,257 ", "source_url": "https://www.sec.gov/Archives/edgar/data/1232524/000123252426000013/jazz-20251231.htm", "reason": ""}</x:v>
      </x:c>
    </x:row>
    <x:row r="176" ht="420" customHeight="1">
      <x:c r="A176" s="29" t="str">
        <x:v>supp:f761c17747b4055a1fbf8fee8ecd62a37ed64a23829789dd01845a784e99b317</x:v>
      </x:c>
      <x:c r="B176" s="29" t="str">
        <x:v>fact</x:v>
      </x:c>
      <x:c r="C176" s="29" t="str">
        <x:v>0001232524-26-000013</x:v>
      </x:c>
      <x:c r="D176" s="29" t="str">
        <x:v>0001232524-26-000013</x:v>
      </x:c>
      <x:c r="E176" s="29" t="str">
        <x:v>2026-02-24</x:v>
      </x:c>
      <x:c r="F176" s="29" t="str">
        <x:v>Balance sheet complete consolidated shareholders equity; no separate NCI equity presented</x:v>
      </x:c>
      <x:c r="G176" s="29" t="str">
        <x:v>{"value": "4318584000", "unit": "USD", "scale": "1", "definition": "Verified source Net Worth", "basis": "", "excerpt": "JAZZ PHARMACEUTICALS PLC CONSOLIDATED BALANCE SHEETS (In thousands, except per share amounts) December 31, 2025 2024 ASSETS Current assets: Cash and cash equivalents $ 1,391,899 $ 2,412,864 Investments 1,050,000 580,000 Accounts receivable, net of allowances of $ 17,294 and $ 32,691 at December 31, 2025 and 2024, respectively 830,747 716,765 Inventories 416,962 480,445 Prepaid expenses 152,481 177,411 Other current assets 323,954 261,543 Total current assets 4,166,043 4,629,028 Property, plant and equipment, net 199,857 173,413 Operating lease assets 58,880 53,582 Intangible assets, net 4,429,510 4,755,695 Goodwill 1,829,340 1,716,323 Deferred tax assets, net 869,130 560,245 Deferred financing costs 7,550 9,489 Other non-current assets 99,030 114,482 Total assets $ 11,659,340 $ 12,012,257 LIABILITIES AND SHAREHOLDERS’ EQUITY Current liabilities: Accounts payable $ 122,061 $ 77,869 Accrued liabilities 1,034,170 910,947 Current portion of long-term debt 1,029,903 31,000 Income taxes payable 56,387 18,757 Total current liabilities 2,242,521 1,038,573 Long-term debt, less current portion 4,328,354 6,077,640 Operating lease liabilities, less current portion 50,892 38,938 Deferred tax liabilities, net 594,470 676,736 Other non-current liabilities 124,519 86,614 Commitments and contingencies (Note 13) Shareholders’ equity: Ordinary shares, nominal value $ 0.0001 per share; 300,000 shares authorized; 61,435 and 60,631 shares issued and outstanding at December 31, 2025 and 2024, respectively 6 6 Non-voting euro deferred shares, € 0.01 par value per share; 4,000 shares authorized, issued and outstanding at both December 31, 2025 and 2024 55 55 Capital redemption reserve 473 473 Additional paid-in capital 4,240,472 3,913,542 Accumulated other comprehensive loss ( 568,598 ) ( 947,667 ) Retained earnings 646,176 1,127,347 Total shareholders’ equity 4,318,584 4,093,756 Total liabilities and shareholders’ equity $ 11,659,340 $ 12,012,257 ", "source_url": "https://www.sec.gov/Archives/edgar/data/1232524/000123252426000013/jazz-20251231.htm", "reason": ""}</x:v>
      </x:c>
    </x:row>
    <x:row r="177" ht="462" customHeight="1">
      <x:c r="A177" s="29" t="str">
        <x:v>supp:2767669f5c9bcbc0ef3cf3e0d978c826d5bc42db7dc44d13c9d906810aefec2a</x:v>
      </x:c>
      <x:c r="B177" s="29" t="str">
        <x:v>fact</x:v>
      </x:c>
      <x:c r="C177" s="29" t="str">
        <x:v>0001232524-26-000013</x:v>
      </x:c>
      <x:c r="D177" s="29" t="str">
        <x:v>0001232524-26-000013</x:v>
      </x:c>
      <x:c r="E177" s="29" t="str">
        <x:v>2026-02-24</x:v>
      </x:c>
      <x:c r="F177" s="29" t="str">
        <x:v>Sum all face-statement current/noncurrent liability subtotals, independently checked against Assets - total equity</x:v>
      </x:c>
      <x:c r="G177" s="29" t="str">
        <x:v>{"value": "7340756000", "unit": "USD", "scale": "1", "definition": "Verified source Total Liabilities", "basis": "", "excerpt": "JAZZ PHARMACEUTICALS PLC CONSOLIDATED BALANCE SHEETS (In thousands, except per share amounts) December 31, 2025 2024 ASSETS Current assets: Cash and cash equivalents $ 1,391,899 $ 2,412,864 Investments 1,050,000 580,000 Accounts receivable, net of allowances of $ 17,294 and $ 32,691 at December 31, 2025 and 2024, respectively 830,747 716,765 Inventories 416,962 480,445 Prepaid expenses 152,481 177,411 Other current assets 323,954 261,543 Total current assets 4,166,043 4,629,028 Property, plant and equipment, net 199,857 173,413 Operating lease assets 58,880 53,582 Intangible assets, net 4,429,510 4,755,695 Goodwill 1,829,340 1,716,323 Deferred tax assets, net 869,130 560,245 Deferred financing costs 7,550 9,489 Other non-current assets 99,030 114,482 Total assets $ 11,659,340 $ 12,012,257 LIABILITIES AND SHAREHOLDERS’ EQUITY Current liabilities: Accounts payable $ 122,061 $ 77,869 Accrued liabilities 1,034,170 910,947 Current portion of long-term debt 1,029,903 31,000 Income taxes payable 56,387 18,757 Total current liabilities 2,242,521 1,038,573 Long-term debt, less current portion 4,328,354 6,077,640 Operating lease liabilities, less current portion 50,892 38,938 Deferred tax liabilities, net 594,470 676,736 Other non-current liabilities 124,519 86,614 Commitments and contingencies (Note 13) Shareholders’ equity: Ordinary shares, nominal value $ 0.0001 per share; 300,000 shares authorized; 61,435 and 60,631 shares issued and outstanding at December 31, 2025 and 2024, respectively 6 6 Non-voting euro deferred shares, € 0.01 par value per share; 4,000 shares authorized, issued and outstanding at both December 31, 2025 and 2024 55 55 Capital redemption reserve 473 473 Additional paid-in capital 4,240,472 3,913,542 Accumulated other comprehensive loss ( 568,598 ) ( 947,667 ) Retained earnings 646,176 1,127,347 Total shareholders’ equity 4,318,584 4,093,756 Total liabilities and shareholders’ equity $ 11,659,340 $ 12,012,257 \n{\"LiabilitiesCurrent\": \"2242521000\", \"LongTermDebtNoncurrent\": \"4328354000\", \"OperatingLeaseLiabilityNoncurrent\": \"50892000\", \"DeferredIncomeTaxLiabilitiesNet\": \"594470000\", \"OtherLiabilitiesNoncurrent\": \"124519000\"}", "source_url": "https://www.sec.gov/Archives/edgar/data/1232524/000123252426000013/jazz-20251231.htm", "reason": ""}</x:v>
      </x:c>
    </x:row>
    <x:row r="178" ht="84" customHeight="1">
      <x:c r="A178" s="29" t="str">
        <x:v>supp:dbcf9252275e5d9f63aa59e77b9f55a53c0bab9a905f7ec20f56722ac1ea0b05</x:v>
      </x:c>
      <x:c r="B178" s="29" t="str">
        <x:v>fact</x:v>
      </x:c>
      <x:c r="C178" s="29" t="str">
        <x:v>0001232524-26-000045</x:v>
      </x:c>
      <x:c r="D178" s="29" t="str">
        <x:v>0001232524-26-000045</x:v>
      </x:c>
      <x:c r="E178" s="29" t="str">
        <x:v>2026-08-03</x:v>
      </x:c>
      <x:c r="F178" s="29" t="str">
        <x:v>SEC original exact-interval XBRL and reviewed statement; original precision retained, later rounded comparative not treated as restatement</x:v>
      </x:c>
      <x:c r="G178" s="29" t="str">
        <x:v>{"value": "3968200000", "unit": "USD", "scale": "1", "definition": "Verified source Current Assets", "basis": "", "excerpt": "[{\"end\": \"2026-06-30\", \"val\": 3968200000, \"accn\": \"0001232524-26-000045\", \"fy\": 2026, \"fp\": \"Q2\", \"form\": \"10-Q\", \"filed\": \"2026-08-03\", \"frame\": \"CY2026Q2I\"}]", "source_url": "https://www.sec.gov/Archives/edgar/data/1232524/000123252426000045/jazz-20260630.htm", "reason": ""}</x:v>
      </x:c>
    </x:row>
    <x:row r="179" ht="84" customHeight="1">
      <x:c r="A179" s="29" t="str">
        <x:v>supp:06966fe6410347fb8580f649c064d4cc7935ef59dc8eaf9e6fdbd02f21351f26</x:v>
      </x:c>
      <x:c r="B179" s="29" t="str">
        <x:v>fact</x:v>
      </x:c>
      <x:c r="C179" s="29" t="str">
        <x:v>0001232524-26-000045</x:v>
      </x:c>
      <x:c r="D179" s="29" t="str">
        <x:v>0001232524-26-000045</x:v>
      </x:c>
      <x:c r="E179" s="29" t="str">
        <x:v>2026-08-03</x:v>
      </x:c>
      <x:c r="F179" s="29" t="str">
        <x:v>SEC original exact-interval XBRL and reviewed statement; original precision retained, later rounded comparative not treated as restatement</x:v>
      </x:c>
      <x:c r="G179" s="29" t="str">
        <x:v>{"value": "2230800000", "unit": "USD", "scale": "1", "definition": "Verified source Current Liabilities", "basis": "", "excerpt": "[{\"end\": \"2026-06-30\", \"val\": 2230800000, \"accn\": \"0001232524-26-000045\", \"fy\": 2026, \"fp\": \"Q2\", \"form\": \"10-Q\", \"filed\": \"2026-08-03\", \"frame\": \"CY2026Q2I\"}]", "source_url": "https://www.sec.gov/Archives/edgar/data/1232524/000123252426000045/jazz-20260630.htm", "reason": ""}</x:v>
      </x:c>
    </x:row>
    <x:row r="180" ht="182" customHeight="1">
      <x:c r="A180" s="29" t="str">
        <x:v>supp:f11c75a55f395918671a9342459628065774f8b7b6e1f13a4dcac55f38a6f5ad</x:v>
      </x:c>
      <x:c r="B180" s="29" t="str">
        <x:v>fact</x:v>
      </x:c>
      <x:c r="C180" s="29" t="str">
        <x:v>0001232524-26-000045</x:v>
      </x:c>
      <x:c r="D180" s="29" t="str">
        <x:v>0001232524-26-000045</x:v>
      </x:c>
      <x:c r="E180" s="29" t="str">
        <x:v>2026-08-03</x:v>
      </x:c>
      <x:c r="F180" s="29" t="str">
        <x:v>SEC original exact-interval XBRL and reviewed statement; original precision retained, later rounded comparative not treated as restatement</x:v>
      </x:c>
      <x:c r="G180" s="29" t="str">
        <x:v>{"value": "3080700000", "unit": "USD", "scale": "1", "definition": "Verified source Quick Assets", "basis": "", "excerpt": "{\"cash\": [{\"end\": \"2026-06-30\", \"val\": 1619800000, \"accn\": \"0001232524-26-000045\", \"fy\": 2026, \"fp\": \"Q2\", \"form\": \"10-Q\", \"filed\": \"2026-08-03\", \"frame\": \"CY2026Q2I\"}], \"receivables\": [{\"end\": \"2026-06-30\", \"val\": 880900000, \"accn\": \"0001232524-26-000045\", \"fy\": 2026, \"fp\": \"Q2\", \"form\": \"10-Q\", \"filed\": \"2026-08-03\", \"frame\": \"CY2026Q2I\"}], \"time_deposits\": [{\"end\": \"2026-06-30\", \"val\": 580000000, \"accn\": \"0001232524-26-000045\", \"fy\": 2026, \"fp\": \"Q2\", \"form\": \"10-Q\", \"filed\": \"2026-08-03\", \"frame\": \"CY2026Q2I\"}]}; excludes inventory, prepayments, other assets; time deposits separate from cash", "source_url": "https://www.sec.gov/Archives/edgar/data/1232524/000123252426000045/jazz-20260630.htm", "reason": ""}</x:v>
      </x:c>
    </x:row>
    <x:row r="181" ht="84" customHeight="1">
      <x:c r="A181" s="29" t="str">
        <x:v>supp:764bf4c17ca464e487884027aadb7d10778a263335cdaa3e1147685afed76de0</x:v>
      </x:c>
      <x:c r="B181" s="29" t="str">
        <x:v>fact</x:v>
      </x:c>
      <x:c r="C181" s="29" t="str">
        <x:v>0001232524-26-000045</x:v>
      </x:c>
      <x:c r="D181" s="29" t="str">
        <x:v>0001232524-26-000045</x:v>
      </x:c>
      <x:c r="E181" s="29" t="str">
        <x:v>2026-08-03</x:v>
      </x:c>
      <x:c r="F181" s="29" t="str">
        <x:v>SEC original exact-interval XBRL and reviewed statement; original precision retained, later rounded comparative not treated as restatement</x:v>
      </x:c>
      <x:c r="G181" s="29" t="str">
        <x:v>{"value": "4801700000", "unit": "USD", "scale": "1", "definition": "Verified source Net Worth", "basis": "", "excerpt": "[{\"end\": \"2026-06-30\", \"val\": 4801700000, \"accn\": \"0001232524-26-000045\", \"fy\": 2026, \"fp\": \"Q2\", \"form\": \"10-Q\", \"filed\": \"2026-08-03\", \"frame\": \"CY2026Q2I\"}]", "source_url": "https://www.sec.gov/Archives/edgar/data/1232524/000123252426000045/jazz-20260630.htm", "reason": ""}</x:v>
      </x:c>
    </x:row>
    <x:row r="182" ht="252" customHeight="1">
      <x:c r="A182" s="29" t="str">
        <x:v>supp:775bec9c57bb38dc47332f3893aacf569bd2f19e100df8d536f6e3ebe2e1f315</x:v>
      </x:c>
      <x:c r="B182" s="29" t="str">
        <x:v>fact</x:v>
      </x:c>
      <x:c r="C182" s="29" t="str">
        <x:v>0001232524-26-000045</x:v>
      </x:c>
      <x:c r="D182" s="29" t="str">
        <x:v>0001232524-26-000045</x:v>
      </x:c>
      <x:c r="E182" s="29" t="str">
        <x:v>2026-08-03</x:v>
      </x:c>
      <x:c r="F182" s="29" t="str">
        <x:v>SEC original exact-interval XBRL and reviewed statement; original precision retained, later rounded comparative not treated as restatement</x:v>
      </x:c>
      <x:c r="G182" s="29" t="str">
        <x:v>{"value": "6279200000", "unit": "USD", "scale": "1", "definition": "Verified source Total Liabilities", "basis": "", "excerpt": "[[{\"end\": \"2026-06-30\", \"val\": 2230800000, \"accn\": \"0001232524-26-000045\", \"fy\": 2026, \"fp\": \"Q2\", \"form\": \"10-Q\", \"filed\": \"2026-08-03\", \"frame\": \"CY2026Q2I\"}], [{\"end\": \"2026-06-30\", \"val\": 3335000000, \"accn\": \"0001232524-26-000045\", \"fy\": 2026, \"fp\": \"Q2\", \"form\": \"10-Q\", \"filed\": \"2026-08-03\", \"frame\": \"CY2026Q2I\"}], [{\"end\": \"2026-06-30\", \"val\": 43600000, \"accn\": \"0001232524-26-000045\", \"fy\": 2026, \"fp\": \"Q2\", \"form\": \"10-Q\", \"filed\": \"2026-08-03\", \"frame\": \"CY2026Q2I\"}], [{\"end\": \"2026-06-30\", \"val\": 528900000, \"accn\": \"0001232524-26-000045\", \"fy\": 2026, \"fp\": \"Q2\", \"form\": \"10-Q\", \"filed\": \"2026-08-03\", \"frame\": \"CY2026Q2I\"}], [{\"end\": \"2026-06-30\", \"val\": 140900000, \"accn\": \"0001232524-26-000045\", \"fy\": 2026, \"fp\": \"Q2\", \"form\": \"10-Q\", \"filed\": \"2026-08-03\", \"frame\": \"CY2026Q2I\"}]]; sum all balance-sheet liability subtotals; independently checked liabilities + equity = assets", "source_url": "https://www.sec.gov/Archives/edgar/data/1232524/000123252426000045/jazz-20260630.htm", "reason": ""}</x:v>
      </x:c>
    </x:row>
    <x:row r="183" ht="32" customHeight="1">
      <x:c r="A183" s="29" t="str">
        <x:v>approval:formal-review-integration:DEC-11</x:v>
      </x:c>
      <x:c r="B183" s="29" t="str">
        <x:v>definition</x:v>
      </x:c>
      <x:c r="C183" s="29" t="str">
        <x:v>user-approved-integration</x:v>
      </x:c>
      <x:c r="D183" s="29" t="str">
        <x:v>formal-review-integration-v1</x:v>
      </x:c>
      <x:c r="E183" s="29" t="str">
        <x:v>2026-10-27</x:v>
      </x:c>
      <x:c r="F183" s="29" t="str">
        <x:v>references/loan-review-integration.md</x:v>
      </x:c>
      <x:c r="G183" s="29" t="str">
        <x:v>Dashboard authorized; display canonical formal facts and acceptance state</x:v>
      </x:c>
    </x:row>
    <x:row r="184" ht="882" customHeight="1">
      <x:c r="A184" s="29" t="str">
        <x:v>passage:revenue</x:v>
      </x:c>
      <x:c r="B184" s="29" t="str">
        <x:v>passage</x:v>
      </x:c>
      <x:c r="C184" s="29" t="str">
        <x:v>0001232524-26-000045</x:v>
      </x:c>
      <x:c r="D184" s="29" t="str">
        <x:v>0001232524-26-000045</x:v>
      </x:c>
      <x:c r="E184" s="29" t="str">
        <x:v>2026-08-03</x:v>
      </x:c>
      <x:c r="F184" s="29" t="str">
        <x:v>https://www.sec.gov/Archives/edgar/data/1232524/000123252426000045/jazz-20260630.htm; normalized text characters 159700:164400</x:v>
      </x:c>
      <x:c r="G184" s="29" t="str">
        <x:v>Xywav product sales increased in the three and six months ended June 30, 2026, compared to the same periods in 2025, primarily due to volume growth of 12% in both periods, and a higher selling price, offset by higher gross to net deductions. We continue to see Xywav adoption in patients with narcolepsy driven by continued demand, supported by educational initiatives around efficacy and the benefit of lowering sodium intake. In addition, Xywav product sales were positively impacted by adoption in IH. Xywav is the only oxybate therapy approved to treat IH and we see continued growth of new prescribers. Exiting the quarter, there were 11,275 patients taking Xywav for narcolepsy and 5,850 taking Xywav for IH, an increase of approximately 6% and 26%, respectively, compared to the same period in 2025 . Xyrem product sales decreased in the three and six months ended June 30, 2026, compared to the same periods in 2025, primarily due to volume declines of 20% and 21%, respectively. Epidiolex/Epidyolex product sales increased in the three months ended June 30, 2026, compared to the same period in 2025, primarily due to volume growth of 12%, driven by increased demand, lower gross to net deductions, and a higher average selling price. Epidiolex/Epidyolex product sales increased in the six months ended June 30, 2026, compared to the same period in 2025, due to volume growth of 13%, driven by increased demand, the positive impact of foreign exchange rates, and a higher average selling price, offset by higher gross to net deductions. Zepzelca product sales increased in the three and six months ended June 30, 2026, compared to the same periods in 2025, primarily due to increased sales volumes, reflecting continued adoption in the first-line maintenance ES-SCLC setting following FDA approval of Zepzelca in combination with atezolizumab or atezolizumab and hyaluronidase-tqjs in October 2025 partially offset by a decline in second line use. Rylaze/Enrylaze product sales in the three months ended June 30, 2026, were in line with the same period in 2025. Rylaze/Enrylaze product sales increased in the six months ended June 30, 2026 , compared to the same period in 2025, primarily due to a higher average selling price, and volume growth of 3%, partially offset by higher gross to net d eductions. Defitelio/defibrotide product sales increased in the three and six months ended June 30, 2026 , compared to the same periods in 2025, primarily due to increased sales volumes, partially offset by a lower average selling price due to regional mix. Modeyso product sales were $48.2 million and $89.6 million, respectively, in the three and six months ended June 30, 2026, following its product launch in August 2025. Vyxeos product sales decreased in the three and six months ended June 30, 2026 , compared to the same periods in 2025, due to a decrease in sales volumes, partially 40 Table of Content offset by a higher average selling price. Ziihera product sales increased in the three and six months ended June 30, 2026 , compared to the same periods in 2025, due to increased sales volumes, following its product launch in December 2024. Royalties and contract revenues decreased in the three and six months ended June 30, 2026, compared to the same periods in 2025, primarily due to a decrease in royalty revenue from Hikma, resulting from a reduction in the applicable royalty rate on net sales of their high sodium oxybate AG . We expect total revenues in 2026 to increase compared to 2025, primarily driven by continued growth in Xywav, Epidiolex/Epidyolex and in oncology, offset by a reduction in royalty revenues due to decreased high-sodium AG royalties and Xyrem revenues following the launch of multiple generic high-sodium products. Cost of Product Sales Cost of product sales in the three months ended June 30, 2026, were in line with the same period in 2025 as lower fair value step-up expense of $20.5 million was partially offset by higher royalty expenses, driven by higher revenues. Cost of product sales increased in the six months ended June 30, 2026 , compared to the same period in 2025, primarily due to higher royalty expenses, driven by higher revenues, and increased inventory provisions, partially offset by lower fair value step-up expense of $12.8 million. Gross margin as a percentage of total revenues was 90.4% and 89.0% for the three and six months ended June 30, 2026, compared to 88.9% and 88.6% for the same periods in 2025. We expect our cost of product sales in 2026 to be broadly in line with 2025, with higher costs, including royalties, driven by higher revenues, offset by a reduction in the fair value step-up expense. Selling, General and </x:v>
      </x:c>
    </x:row>
    <x:row r="185" ht="210" customHeight="1">
      <x:c r="A185" s="29" t="str">
        <x:v>passage:cost</x:v>
      </x:c>
      <x:c r="B185" s="29" t="str">
        <x:v>passage</x:v>
      </x:c>
      <x:c r="C185" s="29" t="str">
        <x:v>0001232524-26-000045</x:v>
      </x:c>
      <x:c r="D185" s="29" t="str">
        <x:v>0001232524-26-000045</x:v>
      </x:c>
      <x:c r="E185" s="29" t="str">
        <x:v>2026-08-03</x:v>
      </x:c>
      <x:c r="F185" s="29" t="str">
        <x:v>https://www.sec.gov/Archives/edgar/data/1232524/000123252426000045/jazz-20260630.htm; normalized text characters 163462:164562</x:v>
      </x:c>
      <x:c r="G185" s="29" t="str">
        <x:v>Cost of Product Sales Cost of product sales in the three months ended June 30, 2026, were in line with the same period in 2025 as lower fair value step-up expense of $20.5 million was partially offset by higher royalty expenses, driven by higher revenues. Cost of product sales increased in the six months ended June 30, 2026 , compared to the same period in 2025, primarily due to higher royalty expenses, driven by higher revenues, and increased inventory provisions, partially offset by lower fair value step-up expense of $12.8 million. Gross margin as a percentage of total revenues was 90.4% and 89.0% for the three and six months ended June 30, 2026, compared to 88.9% and 88.6% for the same periods in 2025. We expect our cost of product sales in 2026 to be broadly in line with 2025, with higher costs, including royalties, driven by higher revenues, offset by a reduction in the fair value step-up expense. Selling, General and Administrative Expenses Selling, general and administrative expenses increased in the three months ended June 30, 2026, compared to the same period in 2025, prima</x:v>
      </x:c>
    </x:row>
    <x:row r="186" ht="1106" customHeight="1">
      <x:c r="A186" s="29" t="str">
        <x:v>passage:expenses</x:v>
      </x:c>
      <x:c r="B186" s="29" t="str">
        <x:v>passage</x:v>
      </x:c>
      <x:c r="C186" s="29" t="str">
        <x:v>0001232524-26-000045</x:v>
      </x:c>
      <x:c r="D186" s="29" t="str">
        <x:v>0001232524-26-000045</x:v>
      </x:c>
      <x:c r="E186" s="29" t="str">
        <x:v>2026-08-03</x:v>
      </x:c>
      <x:c r="F186" s="29" t="str">
        <x:v>https://www.sec.gov/Archives/edgar/data/1232524/000123252426000045/jazz-20260630.htm; normalized text characters 164379:170279</x:v>
      </x:c>
      <x:c r="G186" s="29" t="str">
        <x:v>Selling, General and Administrative Expenses Selling, general and administrative expenses increased in the three months ended June 30, 2026, compared to the same period in 2025, primarily due to increased marketing investment of $13.6 million and higher compensation-related expenses of $11.8 million in support of our commercial portfolio. Selling, general and administrative expenses decreased in the six months ended June 30, 2026, compared to the same period in 2025, primarily due to Xyrem antitrust litigation settlements of $172.0 million incurred in the six months ended June 30, 2025, partially offset by an increase in compensation-related expenses of $29.3 million and increased marketing investment of $22.3 million in support of our commercial portfolio, in the six months ended June 30, 2026. We expect selling, general and administrative expenses in 2026 to decrease compared to 2025, primarily due to the impact of litigation settlement expenses incurred in 2025, offset by increased investment in support of our commercial portfolio. Research and Development Expenses R&amp;D expenses consist primarily of costs related to clinical studies and outside services, personnel expenses, and other R&amp;D costs. Clinical study and outside services costs relate primarily to services performed by clinical research organizations, materials and supplies, and other third party fees. Personnel expenses relate primarily to salaries, benefits and share-based compensation. Other R&amp;D expenses primarily include overhead allocations consisting of various support and facilities-related costs. We do not track fully-burdened R&amp;D expenses on a project-by-project basis. We manage our R&amp;D expenses by identifying the R&amp;D activities that we anticipate will be performed during a given period and then prioritizing efforts based on our assessment of which development activities are important to our business and have a reasonable probability of success, and by dynamically allocating resources accordingly. We also continually review our development pipeline projects and the status of their development and, as necessary, reallocate resources among our development pipeline projects that we believe will best support the future growth of our business. The following table provides a breakout of our R&amp;D expenses by major categories of expense (in millions): Three Months Ended June 30, Six Months Ended June 30, 2026 2025 2026 2025 Clinical studies and outside services $ 108.8 $ 93.1 $ 197.5 $ 180.4 Personnel expenses 80.6 75.4 167.5 149.8 Other 18.1 21.4 38.5 40.4 Total $ 207.5 $ 189.9 $ 403.5 $ 370.6 R&amp;D expenses increased by $17.6 million in the three months ended June 30, 2026, compared to the same period in 2025, driven by an increase in clinical studies and outside services costs, primarily due to higher costs related to zanidatamab. 41 Table of Content R&amp;D expenses increased by $32.9 million in the six months ended June 30, 2026, compared to the same period in 2025, driven by an increase in personnel expenses of $17.7 million and clinical studies and outside services costs, primarily due to higher costs related to zanidatamab and dordaviprone. We expect that our R&amp;D expenses will increase compared to 2025, primarily driven by an increase in clinical studies and outside service costs relating to zanidatamab, for both ongoing and new studies, dordaviprone, due to the inclusion of a full year’s expenses, and preclinical and early clinical programs. Intangible Asset Amortization Intangible asset amortization increased in the three and six months ended June 30, 2026, compared with the same periods in 2025, primarily due to the impact of foreign currency translation on our sterling assets. Acquired In-Process Research and Development Acquired IPR&amp;D expense in the three and six months ended June 30, 2026, includes the upfront payments made in connection with our collaboration and license agreement with AbCellera of $56.0 million and asset purchase agreement with Werewolf of $21.0 million. Acquired IPR&amp;D expense in the three and six months ended June 30, 2025, represents the value allocated to Modeyso in the Chimerix Acquisition. Gain on sale of Priority Review Voucher We recognized a pre-tax gain on disposal of the PRV in January 2026 of $122.8 million, representing the total cash consideration received of $200.0 million, less the post-tax proceeds paid to the former stockholders of Oncoceutics, Inc. Interest Expense, Net Interest expense, net decreased by $10.3 million and $24.1 million in the three and six months ended June 30, 2026, compared to the same periods in 2025, primarily due to lower interest expense on the Tranche B-2 Dollar Term Loans and higher interest income as a result of higher cash reserves, offset by lower interest rates. Income Tax Expense (Benefit) Our income tax expense was $18.1 million and $24.2 million for the three and six months ended June 30, 2026, respectively, compared to an income tax benefit of $17.2 million and $35.0 million for the same periods in 2025, relating to tax arising on income or losses in Ireland, the U.K., the U.S. and certain other foreign jurisdictions and Pillar Two top-up taxes, offset by deductions on subsidiary equity, patent box and foreign-derived deduction eligible income benefits and tax credits. The income tax expense for the six months ended June 30, 2026, also included tax arising on the gain on sale of the PRV, partially offset by excess tax benefits from share-based compensation. The income tax benefit for the six months ended June 30, 2025, was primarily due to the tax impact of certain Xyrem antitrust litigation settlements. Liquidity and Capital Resources As of June 30, 2026, we had cash, cash equivalents and investments of $2.2 billion, borrowing available under our Amended Revolving Credit Facility of $885.0 million and a long-term debt principal balance of $4.4 billion.</x:v>
      </x:c>
    </x:row>
    <x:row r="187" ht="196" customHeight="1">
      <x:c r="A187" s="29" t="str">
        <x:v>passage:iprd-prv</x:v>
      </x:c>
      <x:c r="B187" s="29" t="str">
        <x:v>passage</x:v>
      </x:c>
      <x:c r="C187" s="29" t="str">
        <x:v>0001232524-26-000045</x:v>
      </x:c>
      <x:c r="D187" s="29" t="str">
        <x:v>0001232524-26-000045</x:v>
      </x:c>
      <x:c r="E187" s="29" t="str">
        <x:v>2026-08-03</x:v>
      </x:c>
      <x:c r="F187" s="29" t="str">
        <x:v>https://www.sec.gov/Archives/edgar/data/1232524/000123252426000045/jazz-20260630.htm; normalized text characters 168090:169090</x:v>
      </x:c>
      <x:c r="G187" s="29" t="str">
        <x:v>Acquired In-Process Research and Development Acquired IPR&amp;D expense in the three and six months ended June 30, 2026, includes the upfront payments made in connection with our collaboration and license agreement with AbCellera of $56.0 million and asset purchase agreement with Werewolf of $21.0 million. Acquired IPR&amp;D expense in the three and six months ended June 30, 2025, represents the value allocated to Modeyso in the Chimerix Acquisition. Gain on sale of Priority Review Voucher We recognized a pre-tax gain on disposal of the PRV in January 2026 of $122.8 million, representing the total cash consideration received of $200.0 million, less the post-tax proceeds paid to the former stockholders of Oncoceutics, Inc. Interest Expense, Net Interest expense, net decreased by $10.3 million and $24.1 million in the three and six months ended June 30, 2026, compared to the same periods in 2025, primarily due to lower interest expense on the Tranche B-2 Dollar Term Loans and higher interest inc</x:v>
      </x:c>
    </x:row>
    <x:row r="188" ht="140" customHeight="1">
      <x:c r="A188" s="29" t="str">
        <x:v>passage:interest</x:v>
      </x:c>
      <x:c r="B188" s="29" t="str">
        <x:v>passage</x:v>
      </x:c>
      <x:c r="C188" s="29" t="str">
        <x:v>0001232524-26-000045</x:v>
      </x:c>
      <x:c r="D188" s="29" t="str">
        <x:v>0001232524-26-000045</x:v>
      </x:c>
      <x:c r="E188" s="29" t="str">
        <x:v>2026-08-03</x:v>
      </x:c>
      <x:c r="F188" s="29" t="str">
        <x:v>https://www.sec.gov/Archives/edgar/data/1232524/000123252426000045/jazz-20260630.htm; normalized text characters 168814:169514</x:v>
      </x:c>
      <x:c r="G188" s="29" t="str">
        <x:v>Interest Expense, Net Interest expense, net decreased by $10.3 million and $24.1 million in the three and six months ended June 30, 2026, compared to the same periods in 2025, primarily due to lower interest expense on the Tranche B-2 Dollar Term Loans and higher interest income as a result of higher cash reserves, offset by lower interest rates. Income Tax Expense (Benefit) Our income tax expense was $18.1 million and $24.2 million for the three and six months ended June 30, 2026, respectively, compared to an income tax benefit of $17.2 million and $35.0 million for the same periods in 2025, relating to tax arising on income or losses in Ireland, the U.K., the U.S. and certain other foreign</x:v>
      </x:c>
    </x:row>
    <x:row r="189" ht="420" customHeight="1">
      <x:c r="A189" s="29" t="str">
        <x:v>passage:liquidity</x:v>
      </x:c>
      <x:c r="B189" s="29" t="str">
        <x:v>passage</x:v>
      </x:c>
      <x:c r="C189" s="29" t="str">
        <x:v>0001232524-26-000045</x:v>
      </x:c>
      <x:c r="D189" s="29" t="str">
        <x:v>0001232524-26-000045</x:v>
      </x:c>
      <x:c r="E189" s="29" t="str">
        <x:v>2026-08-03</x:v>
      </x:c>
      <x:c r="F189" s="29" t="str">
        <x:v>https://www.sec.gov/Archives/edgar/data/1232524/000123252426000045/jazz-20260630.htm; normalized text characters 170026:172226</x:v>
      </x:c>
      <x:c r="G189" s="29" t="str">
        <x:v>Liquidity and Capital Resources As of June 30, 2026, we had cash, cash equivalents and investments of $2.2 billion, borrowing available under our Amended Revolving Credit Facility of $885.0 million and a long-term debt principal balance of $4.4 billion. Our long-term debt included $1.9 billion aggregate principal amount of the Tranche B-2 Dollar Term Loans, $1.5 billion in aggregate principal amount of the Secured Notes, and $1.0 billion aggregate principal amount of the 2030 Notes. We generated cash flow from operations of $823.9 million during the six months ended June 30, 2026, and we expect to continue to generate positive cash flow from operations which will enable us to operate our business and de-lever our balance sheet over time. Prior to June 15, 2030, the 2030 Notes will be exchangeable only upon satisfaction of certain conditions, including a condition tied to our share price that is measured as of the end of each quarter, and during certain periods, and thereafter, at any time until the close of business on the second scheduled trading day immediately preceding the maturity date. During the quarter ended June 30, 2026, the closing price of our ordinary shares exceeded 130% of the conversion price of the 2030 Notes for more than 20 trading days of the last 30 consecutive trading days of the quarter. As a result, the share price condition was met and the 2030 Notes are exchangeable at the option of the holders during the quarter ended September 30, 2026. Accordingly, the carrying value of the 2030 Notes has been included in current liabilities in our condensed consolidated balance sheet as of June 30, 2026. As of the date of this filing, none of the 2030 Notes have been exchanged by the holders. In the event holders elect to exchange their 2030 Notes, we expect we would settle such exchanges using cash on hand and/or borrowings under our Amended Revolving Credit Facility. Table of Content Since the closing of the GW Acquisition in May 2021, we have fully repaid our Euro Term Loan. With respect to our Tranche B-2 Dollar Term Loans, we have made voluntary repayments of $1.1 billion , $300.0 million in September 2022, and $750.0 million in January 2025, a</x:v>
      </x:c>
    </x:row>
    <x:row r="190" ht="672" customHeight="1">
      <x:c r="A190" s="29" t="str">
        <x:v>passage:debt</x:v>
      </x:c>
      <x:c r="B190" s="29" t="str">
        <x:v>passage</x:v>
      </x:c>
      <x:c r="C190" s="29" t="str">
        <x:v>0001232524-26-000045</x:v>
      </x:c>
      <x:c r="D190" s="29" t="str">
        <x:v>0001232524-26-000045</x:v>
      </x:c>
      <x:c r="E190" s="29" t="str">
        <x:v>2026-08-03</x:v>
      </x:c>
      <x:c r="F190" s="29" t="str">
        <x:v>https://www.sec.gov/Archives/edgar/data/1232524/000123252426000045/jazz-20260630.htm; normalized text characters 68200:71800</x:v>
      </x:c>
      <x:c r="G190" s="29" t="str">
        <x:v>9. Debt The following table summarizes the carrying amount of our indebtedness (in millions): June 30, 2026 December 31, 2025 2026 Notes $ — $ 1,000.0 Unamortized - debt issuance costs — ( 1.1 ) 2026 Notes, net — 998.9 2030 Notes 1,000.0 1,000.0 Unamortized - debt issuance costs ( 14.6 ) ( 16.0 ) 2030 Notes, net 985.4 984.0 Secured Notes 1,489.0 1,487.5 Term Loan 1,877.0 1,887.9 Total debt 4,351.4 5,358.3 Less current portion (1) 1,016.4 1,029.9 Total long-term debt $ 3,335.0 $ 4,328.4 ________________________ (1) Balance as of June 30, 2026 includes the 2030 Notes since the share price condition was met during the quarter ended June 30, 2026. Balance as of December 31, 2025 included the 2026 Notes since they matured in June 2026. 2030 Notes The 2030 Notes were issued by Jazz Investments, or the Issuer, a 100 %-owned finance subsidiary of Jazz Pharmaceuticals plc. The 2030 Notes are senior unsecured obligations of the Issuer and are fully and unconditionally guaranteed on a senior unsecured basis by Jazz Pharmaceuticals plc. No subsidiary of Jazz Pharmaceuticals plc guaranteed the 2030 Notes. Subject to certain local law restrictions on payment of dividends, among other things, and potential negative tax consequences, we are not aware of any significant restrictions on the ability of Jazz Pharmaceuticals plc to obtain funds from the Issuer or Jazz Pharmaceuticals plc’s other subsidiaries by dividend or loan, or any legal or economic restrictions on the ability of the Issuer or Jazz Pharmaceuticals plc’s other subsidiaries to transfer funds to Jazz Pharmaceuticals plc in the form of cash dividends, loans or advances. There is no assurance that in the future such restrictions will not be adopted. The total liability of the 2030 Notes is reflected net of issuance costs of $ 19.2 million which will be amortized over the term of the 2030 Notes. The effective interest rate of the 2030 Notes is 3.47 %. During the three months ended June 30, 2026 and 2025, we recognized interest expense of $ 8.5 million, of which $ 7.8 million related to the contractual coupon rate and $ 0.7 million related to the amortization of debt issuance costs. During the six months ended June 30, 2026 and 2025, we recognized interest expense of $ 17.0 million, of which $ 15.6 million related to the contractual coupon rate and $ 1.4 million related to the amortization of debt issuance costs. Prior to June 15, 2030, the 2030 Notes will be exchangeable only upon satisfaction of certain conditions, including a condition tied to our share price that is measured as of the end of each quarter, and during certain periods, and thereafter, at any time until the close of business on the second scheduled trading day immediately preceding the maturity date. During the quarter ended June 30, 2026, the closing price of our ordinary shares exceeded 130 % of the conversion price (approximately $ 153.05 ) of the 2030 Notes for more than 20 trading days of the last 30 consecutive trading days of the quarter. As a result, the share price condition was met and the 2030 Notes are exchangeable at the option of the holders during the quarter ended September 30, 2026. Accordingly, the carrying value of the 2030 Notes has been included in current liabilities in our condensed consolidated balance sheet as of June 30, 2026. As of the date of this filing, none of the 2030 Notes have been exchanged by the holders. 2026 Notes On June 15, 2026, the maturity date for the 2026 Notes, we repaid the $ 1.0 billion aggregate principal amount and accrued and unpaid interest thereon and issued 1,890,193 ordi</x:v>
      </x:c>
    </x:row>
  </x:sheetData>
  <x:mergeCells>
    <x:mergeCell ref="A1:G1"/>
    <x:mergeCell ref="A2:G2"/>
  </x:mergeCells>
  <x:pageMargins left="0.7" right="0.7" top="0.75" bottom="0.75" header="0.3" footer="0.3"/>
</x:worksheet>
</file>