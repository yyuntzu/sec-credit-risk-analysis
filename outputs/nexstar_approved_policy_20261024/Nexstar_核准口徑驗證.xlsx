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92ee865bb4d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" sheetId="1" r:id="Rbf7a75c6c6c64e8a"/>
    <x:sheet xmlns:r="http://schemas.openxmlformats.org/officeDocument/2006/relationships" name="Year" sheetId="2" r:id="R067bc04c80d2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.00"/>
    <x:numFmt numFmtId="201" formatCode="0.00%;(0.00%);0.00%"/>
    <x:numFmt numFmtId="202" formatCode="0.00&quot;x&quot;;(0.00&quot;x&quot;);0.00&quot;x&quot;"/>
  </x:numFmts>
  <x:fonts count="9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  <x:font>
      <x:b/>
      <x:sz val="14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8" fillId="2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4c9d391cd4983" /><Relationship Type="http://schemas.openxmlformats.org/officeDocument/2006/relationships/theme" Target="/xl/theme/theme1.xml" Id="Rd0fd525f06594160" /><Relationship Type="http://schemas.openxmlformats.org/officeDocument/2006/relationships/sharedStrings" Target="/xl/sharedStrings.xml" Id="Rf095e025a5134a17" /><Relationship Type="http://schemas.openxmlformats.org/officeDocument/2006/relationships/worksheet" Target="/xl/worksheets/sheet1.xml" Id="Rbf7a75c6c6c64e8a" /><Relationship Type="http://schemas.openxmlformats.org/officeDocument/2006/relationships/worksheet" Target="/xl/worksheets/sheet2.xml" Id="R067bc04c80d24c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75" hidden="0" customWidth="1"/>
    <x:col min="7" max="7" width="75" hidden="0" customWidth="1"/>
  </x:cols>
  <x:sheetData>
    <x:row r="2">
      <x:c r="A2" s="15" t="str">
        <x:v>Nexstar Quarter_Q1（百萬美元）</x:v>
      </x:c>
      <x:c r="B2" s="16"/>
      <x:c r="C2" s="16"/>
      <x:c r="D2" s="16"/>
      <x:c r="E2" s="16"/>
      <x:c r="F2" s="22"/>
      <x:c r="G2" s="22"/>
    </x:row>
    <x:row r="3">
      <x:c r="A3" s="16" t="str">
        <x:v>待驗收：SEC來源、現金流期間與勾稽仍未完成。</x:v>
      </x:c>
      <x:c r="B3" s="16"/>
      <x:c r="C3" s="16"/>
      <x:c r="D3" s="16"/>
      <x:c r="E3" s="16"/>
      <x:c r="F3" s="22"/>
      <x:c r="G3" s="22"/>
    </x:row>
    <x:row r="4">
      <x:c r="A4" s="16"/>
      <x:c r="B4" s="16"/>
      <x:c r="C4" s="16"/>
      <x:c r="D4" s="16"/>
      <x:c r="E4" s="16"/>
      <x:c r="F4" s="22"/>
      <x:c r="G4" s="22"/>
    </x:row>
    <x:row r="5">
      <x:c r="A5" s="16" t="str">
        <x:v>YTD (Quarterly) Income</x:v>
      </x:c>
      <x:c r="B5" s="16"/>
      <x:c r="C5" s="16"/>
      <x:c r="D5" s="16"/>
      <x:c r="E5" s="16"/>
      <x:c r="F5" s="22"/>
      <x:c r="G5" s="22"/>
    </x:row>
    <x:row r="6" ht="40" customHeight="1">
      <x:c r="A6" s="17" t="str">
        <x:v>科目</x:v>
      </x:c>
      <x:c r="B6" s="17" t="str">
        <x:v>2025-01-01～2025-03-31</x:v>
      </x:c>
      <x:c r="C6" s="17" t="str">
        <x:v>營收占比</x:v>
      </x:c>
      <x:c r="D6" s="17" t="str">
        <x:v>2026-01-01～2026-03-31</x:v>
      </x:c>
      <x:c r="E6" s="17" t="str">
        <x:v>營收占比</x:v>
      </x:c>
      <x:c r="F6" s="22"/>
      <x:c r="G6" s="22"/>
    </x:row>
    <x:row r="7">
      <x:c r="A7" s="16" t="str">
        <x:v>Revenues／營業收入</x:v>
      </x:c>
      <x:c r="B7" s="18" t="n">
        <x:f>B69</x:f>
        <x:v>1234</x:v>
      </x:c>
      <x:c r="C7" s="19" t="n">
        <x:f>B70</x:f>
        <x:v>1</x:v>
      </x:c>
      <x:c r="D7" s="18" t="n">
        <x:f>B71</x:f>
        <x:v>1396</x:v>
      </x:c>
      <x:c r="E7" s="19" t="n">
        <x:f>B72</x:f>
        <x:v>1</x:v>
      </x:c>
      <x:c r="F7" s="22"/>
      <x:c r="G7" s="22"/>
    </x:row>
    <x:row r="8">
      <x:c r="A8" s="16" t="str">
        <x:v>Operating Cost／營業成本</x:v>
      </x:c>
      <x:c r="B8" s="18" t="n">
        <x:f>B73</x:f>
        <x:v>551</x:v>
      </x:c>
      <x:c r="C8" s="19" t="n">
        <x:f>B74</x:f>
        <x:v>0.446515397082658</x:v>
      </x:c>
      <x:c r="D8" s="18" t="n">
        <x:f>B75</x:f>
        <x:v>611</x:v>
      </x:c>
      <x:c r="E8" s="19" t="n">
        <x:f>B76</x:f>
        <x:v>0.4376790830945559</x:v>
      </x:c>
      <x:c r="F8" s="22"/>
      <x:c r="G8" s="22"/>
    </x:row>
    <x:row r="9">
      <x:c r="A9" s="16" t="str">
        <x:v>Gross profit／毛利</x:v>
      </x:c>
      <x:c r="B9" s="18" t="n">
        <x:f>B77</x:f>
        <x:v>683</x:v>
      </x:c>
      <x:c r="C9" s="19" t="n">
        <x:f>B78</x:f>
        <x:v>0.553484602917342</x:v>
      </x:c>
      <x:c r="D9" s="18" t="n">
        <x:f>B79</x:f>
        <x:v>785</x:v>
      </x:c>
      <x:c r="E9" s="19" t="n">
        <x:f>B80</x:f>
        <x:v>0.5623209169054442</x:v>
      </x:c>
      <x:c r="F9" s="22"/>
      <x:c r="G9" s="22"/>
    </x:row>
    <x:row r="10">
      <x:c r="A10" s="16" t="str">
        <x:v>Operating expense／營業費用</x:v>
      </x:c>
      <x:c r="B10" s="18" t="str">
        <x:f>B81</x:f>
        <x:v>無法計算／待確認</x:v>
      </x:c>
      <x:c r="C10" s="19" t="str">
        <x:f>B82</x:f>
        <x:v>無法計算／待確認</x:v>
      </x:c>
      <x:c r="D10" s="18" t="str">
        <x:f>B83</x:f>
        <x:v>無法計算／待確認</x:v>
      </x:c>
      <x:c r="E10" s="19" t="str">
        <x:f>B84</x:f>
        <x:v>無法計算／待確認</x:v>
      </x:c>
      <x:c r="F10" s="22"/>
      <x:c r="G10" s="22"/>
    </x:row>
    <x:row r="11">
      <x:c r="A11" s="16" t="str">
        <x:v>Operating income／營業利益</x:v>
      </x:c>
      <x:c r="B11" s="18" t="n">
        <x:f>B85</x:f>
        <x:v>220</x:v>
      </x:c>
      <x:c r="C11" s="19" t="n">
        <x:f>B86</x:f>
        <x:v>0.17828200972447325</x:v>
      </x:c>
      <x:c r="D11" s="18" t="n">
        <x:f>B87</x:f>
        <x:v>265</x:v>
      </x:c>
      <x:c r="E11" s="19" t="n">
        <x:f>B88</x:f>
        <x:v>0.18982808022922637</x:v>
      </x:c>
      <x:c r="F11" s="22"/>
      <x:c r="G11" s="22"/>
    </x:row>
    <x:row r="12">
      <x:c r="A12" s="16" t="str">
        <x:v>Interest expense／利息費用</x:v>
      </x:c>
      <x:c r="B12" s="18" t="str">
        <x:f>B89</x:f>
        <x:v>無法計算／待確認</x:v>
      </x:c>
      <x:c r="C12" s="19" t="str">
        <x:f>B90</x:f>
        <x:v>無法計算／待確認</x:v>
      </x:c>
      <x:c r="D12" s="18" t="str">
        <x:f>B91</x:f>
        <x:v>無法計算／待確認</x:v>
      </x:c>
      <x:c r="E12" s="19" t="str">
        <x:f>B92</x:f>
        <x:v>無法計算／待確認</x:v>
      </x:c>
      <x:c r="F12" s="22"/>
      <x:c r="G12" s="22"/>
    </x:row>
    <x:row r="13">
      <x:c r="A13" s="16" t="str">
        <x:v>Income before taxes／稅前利益</x:v>
      </x:c>
      <x:c r="B13" s="18" t="n">
        <x:f>B93</x:f>
        <x:v>138</x:v>
      </x:c>
      <x:c r="C13" s="19" t="n">
        <x:f>B94</x:f>
        <x:v>0.11183144246353323</x:v>
      </x:c>
      <x:c r="D13" s="18" t="n">
        <x:f>B95</x:f>
        <x:v>153</x:v>
      </x:c>
      <x:c r="E13" s="19" t="n">
        <x:f>B96</x:f>
        <x:v>0.10959885386819485</x:v>
      </x:c>
      <x:c r="F13" s="22"/>
      <x:c r="G13" s="22"/>
    </x:row>
    <x:row r="14">
      <x:c r="A14" s="16" t="str">
        <x:v>Income tax expense／所得稅費用／利益</x:v>
      </x:c>
      <x:c r="B14" s="18" t="n">
        <x:f>B97</x:f>
        <x:v>41</x:v>
      </x:c>
      <x:c r="C14" s="19" t="n">
        <x:f>B98</x:f>
        <x:v>0.03322528363047002</x:v>
      </x:c>
      <x:c r="D14" s="18" t="n">
        <x:f>B99</x:f>
        <x:v>-7</x:v>
      </x:c>
      <x:c r="E14" s="19" t="n">
        <x:f>B100</x:f>
        <x:v>-0.00501432664756447</x:v>
      </x:c>
      <x:c r="F14" s="22"/>
      <x:c r="G14" s="22"/>
    </x:row>
    <x:row r="15">
      <x:c r="A15" s="16" t="str">
        <x:v>Net income／稅後淨利</x:v>
      </x:c>
      <x:c r="B15" s="18" t="n">
        <x:f>B101</x:f>
        <x:v>97</x:v>
      </x:c>
      <x:c r="C15" s="19" t="n">
        <x:f>B102</x:f>
        <x:v>0.07860615883306321</x:v>
      </x:c>
      <x:c r="D15" s="18" t="n">
        <x:f>B103</x:f>
        <x:v>160</x:v>
      </x:c>
      <x:c r="E15" s="19" t="n">
        <x:f>B104</x:f>
        <x:v>0.11461318051575932</x:v>
      </x:c>
      <x:c r="F15" s="22"/>
      <x:c r="G15" s="22"/>
    </x:row>
    <x:row r="16">
      <x:c r="A16" s="16"/>
      <x:c r="B16" s="16"/>
      <x:c r="C16" s="16"/>
      <x:c r="D16" s="16"/>
      <x:c r="E16" s="16"/>
      <x:c r="F16" s="22"/>
      <x:c r="G16" s="22"/>
    </x:row>
    <x:row r="17">
      <x:c r="A17" s="16"/>
      <x:c r="B17" s="16"/>
      <x:c r="C17" s="16"/>
      <x:c r="D17" s="16"/>
      <x:c r="E17" s="16"/>
      <x:c r="F17" s="22"/>
      <x:c r="G17" s="22"/>
    </x:row>
    <x:row r="18">
      <x:c r="A18" s="16" t="str">
        <x:v>Ratios YTD</x:v>
      </x:c>
      <x:c r="B18" s="16"/>
      <x:c r="C18" s="16"/>
      <x:c r="D18" s="16"/>
      <x:c r="E18" s="16"/>
      <x:c r="F18" s="22"/>
      <x:c r="G18" s="22"/>
    </x:row>
    <x:row r="19" ht="40" customHeight="1">
      <x:c r="A19" s="17" t="str">
        <x:v>科目</x:v>
      </x:c>
      <x:c r="B19" s="17" t="str">
        <x:v>2024-01-01～2024-12-31</x:v>
      </x:c>
      <x:c r="C19" s="17" t="str">
        <x:v>2025-01-01～2025-03-31</x:v>
      </x:c>
      <x:c r="D19" s="17" t="str">
        <x:v>2025-01-01～2025-12-31</x:v>
      </x:c>
      <x:c r="E19" s="17" t="str">
        <x:v>2026-01-01～2026-03-31</x:v>
      </x:c>
      <x:c r="F19" s="22"/>
      <x:c r="G19" s="22"/>
    </x:row>
    <x:row r="20">
      <x:c r="A20" s="16" t="str">
        <x:v>Current ratio／流動比率</x:v>
      </x:c>
      <x:c r="B20" s="19" t="n">
        <x:f>B105</x:f>
        <x:v>1.656449553001277</x:v>
      </x:c>
      <x:c r="C20" s="19" t="n">
        <x:f>B106</x:f>
        <x:v>1.7416149068322981</x:v>
      </x:c>
      <x:c r="D20" s="19" t="n">
        <x:f>B107</x:f>
        <x:v>2.071729957805907</x:v>
      </x:c>
      <x:c r="E20" s="19" t="n">
        <x:f>B108</x:f>
        <x:v>1.7567359507313318</x:v>
      </x:c>
      <x:c r="F20" s="22"/>
      <x:c r="G20" s="22"/>
    </x:row>
    <x:row r="21">
      <x:c r="A21" s="16" t="str">
        <x:v>Quick ratio／速動比率</x:v>
      </x:c>
      <x:c r="B21" s="19" t="str">
        <x:f>B109</x:f>
        <x:v>無法計算／待確認</x:v>
      </x:c>
      <x:c r="C21" s="19" t="str">
        <x:f>B110</x:f>
        <x:v>無法計算／待確認</x:v>
      </x:c>
      <x:c r="D21" s="19" t="str">
        <x:f>B111</x:f>
        <x:v>無法計算／待確認</x:v>
      </x:c>
      <x:c r="E21" s="19" t="str">
        <x:f>B112</x:f>
        <x:v>無法計算／待確認</x:v>
      </x:c>
      <x:c r="F21" s="22"/>
      <x:c r="G21" s="22"/>
    </x:row>
    <x:row r="22">
      <x:c r="A22" s="16" t="str">
        <x:v>Debt ratio／負債比率</x:v>
      </x:c>
      <x:c r="B22" s="19" t="str">
        <x:f>B113</x:f>
        <x:v>無法計算／待確認</x:v>
      </x:c>
      <x:c r="C22" s="19" t="str">
        <x:f>B114</x:f>
        <x:v>無法計算／待確認</x:v>
      </x:c>
      <x:c r="D22" s="19" t="str">
        <x:f>B115</x:f>
        <x:v>無法計算／待確認</x:v>
      </x:c>
      <x:c r="E22" s="19" t="str">
        <x:f>B116</x:f>
        <x:v>無法計算／待確認</x:v>
      </x:c>
      <x:c r="F22" s="22"/>
      <x:c r="G22" s="22"/>
    </x:row>
    <x:row r="23">
      <x:c r="A23" s="16"/>
      <x:c r="B23" s="16"/>
      <x:c r="C23" s="16"/>
      <x:c r="D23" s="16"/>
      <x:c r="E23" s="16"/>
      <x:c r="F23" s="22"/>
      <x:c r="G23" s="22"/>
    </x:row>
    <x:row r="24">
      <x:c r="A24" s="16"/>
      <x:c r="B24" s="16"/>
      <x:c r="C24" s="16"/>
      <x:c r="D24" s="16"/>
      <x:c r="E24" s="16"/>
      <x:c r="F24" s="22"/>
      <x:c r="G24" s="22"/>
    </x:row>
    <x:row r="25">
      <x:c r="A25" s="16" t="str">
        <x:v>Leverage Analysis YTD</x:v>
      </x:c>
      <x:c r="B25" s="16"/>
      <x:c r="C25" s="16"/>
      <x:c r="D25" s="16"/>
      <x:c r="E25" s="16"/>
      <x:c r="F25" s="22"/>
      <x:c r="G25" s="22"/>
    </x:row>
    <x:row r="26" ht="40" customHeight="1">
      <x:c r="A26" s="17" t="str">
        <x:v>科目</x:v>
      </x:c>
      <x:c r="B26" s="17" t="str">
        <x:v>2024-01-01～2024-12-31</x:v>
      </x:c>
      <x:c r="C26" s="17" t="str">
        <x:v>2025-01-01～2025-03-31</x:v>
      </x:c>
      <x:c r="D26" s="17" t="str">
        <x:v>2025-01-01～2025-12-31</x:v>
      </x:c>
      <x:c r="E26" s="17" t="str">
        <x:v>2026-01-01～2026-03-31</x:v>
      </x:c>
      <x:c r="F26" s="22"/>
      <x:c r="G26" s="22"/>
    </x:row>
    <x:row r="27">
      <x:c r="A27" s="16" t="str">
        <x:v>Total debt／總債務</x:v>
      </x:c>
      <x:c r="B27" s="18" t="str">
        <x:f>B117</x:f>
        <x:v>缺少資料</x:v>
      </x:c>
      <x:c r="C27" s="18" t="str">
        <x:f>B118</x:f>
        <x:v>缺少資料</x:v>
      </x:c>
      <x:c r="D27" s="18" t="str">
        <x:f>B119</x:f>
        <x:v>缺少資料</x:v>
      </x:c>
      <x:c r="E27" s="18" t="str">
        <x:f>B120</x:f>
        <x:v>缺少資料</x:v>
      </x:c>
      <x:c r="F27" s="22"/>
      <x:c r="G27" s="22"/>
    </x:row>
    <x:row r="28">
      <x:c r="A28" s="16" t="str">
        <x:v>LTM EBITDA／最近完整年度 EBITDA</x:v>
      </x:c>
      <x:c r="B28" s="18" t="str">
        <x:f>B121</x:f>
        <x:v>無法計算／待確認</x:v>
      </x:c>
      <x:c r="C28" s="18" t="str">
        <x:f>B122</x:f>
        <x:v>無法計算／待確認</x:v>
      </x:c>
      <x:c r="D28" s="18" t="str">
        <x:f>B123</x:f>
        <x:v>無法計算／待確認</x:v>
      </x:c>
      <x:c r="E28" s="18" t="str">
        <x:f>B124</x:f>
        <x:v>無法計算／待確認</x:v>
      </x:c>
      <x:c r="F28" s="22"/>
      <x:c r="G28" s="22"/>
    </x:row>
    <x:row r="29">
      <x:c r="A29" s="16" t="str">
        <x:v>EBITDA basis／EBITDA 計算口徑</x:v>
      </x:c>
      <x:c r="B29" s="18" t="str">
        <x:f>B125</x:f>
        <x:v>缺少資料</x:v>
      </x:c>
      <x:c r="C29" s="18" t="str">
        <x:f>B126</x:f>
        <x:v>缺少資料</x:v>
      </x:c>
      <x:c r="D29" s="18" t="str">
        <x:f>B127</x:f>
        <x:v>缺少資料</x:v>
      </x:c>
      <x:c r="E29" s="18" t="str">
        <x:f>B128</x:f>
        <x:v>缺少資料</x:v>
      </x:c>
      <x:c r="F29" s="22"/>
      <x:c r="G29" s="22"/>
    </x:row>
    <x:row r="30">
      <x:c r="A30" s="16" t="str">
        <x:v>Total leverage ratio／總槓桿倍數</x:v>
      </x:c>
      <x:c r="B30" s="20" t="str">
        <x:f>B129</x:f>
        <x:v>無法計算／待確認</x:v>
      </x:c>
      <x:c r="C30" s="20" t="str">
        <x:f>B130</x:f>
        <x:v>無法計算／待確認</x:v>
      </x:c>
      <x:c r="D30" s="20" t="str">
        <x:f>B131</x:f>
        <x:v>無法計算／待確認</x:v>
      </x:c>
      <x:c r="E30" s="20" t="str">
        <x:f>B132</x:f>
        <x:v>無法計算／待確認</x:v>
      </x:c>
      <x:c r="F30" s="22"/>
      <x:c r="G30" s="22"/>
    </x:row>
    <x:row r="31">
      <x:c r="A31" s="16"/>
      <x:c r="B31" s="16"/>
      <x:c r="C31" s="16"/>
      <x:c r="D31" s="16"/>
      <x:c r="E31" s="16"/>
      <x:c r="F31" s="22"/>
      <x:c r="G31" s="22"/>
    </x:row>
    <x:row r="32">
      <x:c r="A32" s="16"/>
      <x:c r="B32" s="16"/>
      <x:c r="C32" s="16"/>
      <x:c r="D32" s="16"/>
      <x:c r="E32" s="16"/>
      <x:c r="F32" s="22"/>
      <x:c r="G32" s="22"/>
    </x:row>
    <x:row r="33">
      <x:c r="A33" s="15" t="str">
        <x:v>Nexstar Quarter_Q2（百萬美元）</x:v>
      </x:c>
      <x:c r="B33" s="16"/>
      <x:c r="C33" s="16"/>
      <x:c r="D33" s="16"/>
      <x:c r="E33" s="16"/>
      <x:c r="F33" s="22"/>
      <x:c r="G33" s="22"/>
    </x:row>
    <x:row r="34">
      <x:c r="A34" s="16" t="str">
        <x:v>待驗收：SEC來源、現金流期間與勾稽仍未完成。</x:v>
      </x:c>
      <x:c r="B34" s="16"/>
      <x:c r="C34" s="16"/>
      <x:c r="D34" s="16"/>
      <x:c r="E34" s="16"/>
      <x:c r="F34" s="22"/>
      <x:c r="G34" s="22"/>
    </x:row>
    <x:row r="35">
      <x:c r="A35" s="16"/>
      <x:c r="B35" s="16"/>
      <x:c r="C35" s="16"/>
      <x:c r="D35" s="16"/>
      <x:c r="E35" s="16"/>
      <x:c r="F35" s="22"/>
      <x:c r="G35" s="22"/>
    </x:row>
    <x:row r="36">
      <x:c r="A36" s="16" t="str">
        <x:v>YTD (Quarterly) Income</x:v>
      </x:c>
      <x:c r="B36" s="16"/>
      <x:c r="C36" s="16"/>
      <x:c r="D36" s="16"/>
      <x:c r="E36" s="16"/>
      <x:c r="F36" s="22"/>
      <x:c r="G36" s="22"/>
    </x:row>
    <x:row r="37" ht="40" customHeight="1">
      <x:c r="A37" s="17" t="str">
        <x:v>科目</x:v>
      </x:c>
      <x:c r="B37" s="17" t="str">
        <x:v>2025-01-01～2025-06-30</x:v>
      </x:c>
      <x:c r="C37" s="17" t="str">
        <x:v>營收占比</x:v>
      </x:c>
      <x:c r="D37" s="17" t="str">
        <x:v>2026-01-01～2026-06-30</x:v>
      </x:c>
      <x:c r="E37" s="17" t="str">
        <x:v>營收占比</x:v>
      </x:c>
      <x:c r="F37" s="22"/>
      <x:c r="G37" s="22"/>
    </x:row>
    <x:row r="38">
      <x:c r="A38" s="16" t="str">
        <x:v>Revenues／營業收入</x:v>
      </x:c>
      <x:c r="B38" s="18" t="n">
        <x:f>B181</x:f>
        <x:v>2462</x:v>
      </x:c>
      <x:c r="C38" s="19" t="n">
        <x:f>B182</x:f>
        <x:v>1</x:v>
      </x:c>
      <x:c r="D38" s="18" t="n">
        <x:f>B183</x:f>
        <x:v>3389</x:v>
      </x:c>
      <x:c r="E38" s="19" t="n">
        <x:f>B184</x:f>
        <x:v>1</x:v>
      </x:c>
      <x:c r="F38" s="22"/>
      <x:c r="G38" s="22"/>
    </x:row>
    <x:row r="39">
      <x:c r="A39" s="16" t="str">
        <x:v>Operating Cost／營業成本</x:v>
      </x:c>
      <x:c r="B39" s="18" t="n">
        <x:f>B185</x:f>
        <x:v>1108</x:v>
      </x:c>
      <x:c r="C39" s="19" t="n">
        <x:f>B186</x:f>
        <x:v>0.45004061738424045</x:v>
      </x:c>
      <x:c r="D39" s="18" t="n">
        <x:f>B187</x:f>
        <x:v>1541</x:v>
      </x:c>
      <x:c r="E39" s="19" t="n">
        <x:f>B188</x:f>
        <x:v>0.4547064030687518</x:v>
      </x:c>
      <x:c r="F39" s="22"/>
      <x:c r="G39" s="22"/>
    </x:row>
    <x:row r="40">
      <x:c r="A40" s="16" t="str">
        <x:v>Gross profit／毛利</x:v>
      </x:c>
      <x:c r="B40" s="18" t="n">
        <x:f>B189</x:f>
        <x:v>1354</x:v>
      </x:c>
      <x:c r="C40" s="19" t="n">
        <x:f>B190</x:f>
        <x:v>0.5499593826157595</x:v>
      </x:c>
      <x:c r="D40" s="18" t="n">
        <x:f>B191</x:f>
        <x:v>1848</x:v>
      </x:c>
      <x:c r="E40" s="19" t="n">
        <x:f>B192</x:f>
        <x:v>0.5452935969312481</x:v>
      </x:c>
      <x:c r="F40" s="22"/>
      <x:c r="G40" s="22"/>
    </x:row>
    <x:row r="41">
      <x:c r="A41" s="16" t="str">
        <x:v>Operating expense／營業費用</x:v>
      </x:c>
      <x:c r="B41" s="18" t="str">
        <x:f>B193</x:f>
        <x:v>無法計算／待確認</x:v>
      </x:c>
      <x:c r="C41" s="19" t="str">
        <x:f>B194</x:f>
        <x:v>無法計算／待確認</x:v>
      </x:c>
      <x:c r="D41" s="18" t="str">
        <x:f>B195</x:f>
        <x:v>無法計算／待確認</x:v>
      </x:c>
      <x:c r="E41" s="19" t="str">
        <x:f>B196</x:f>
        <x:v>無法計算／待確認</x:v>
      </x:c>
      <x:c r="F41" s="22"/>
      <x:c r="G41" s="22"/>
    </x:row>
    <x:row r="42">
      <x:c r="A42" s="16" t="str">
        <x:v>Operating income／營業利益</x:v>
      </x:c>
      <x:c r="B42" s="18" t="n">
        <x:f>B197</x:f>
        <x:v>432</x:v>
      </x:c>
      <x:c r="C42" s="19" t="n">
        <x:f>B198</x:f>
        <x:v>0.17546709991876522</x:v>
      </x:c>
      <x:c r="D42" s="18" t="n">
        <x:f>B199</x:f>
        <x:v>627</x:v>
      </x:c>
      <x:c r="E42" s="19" t="n">
        <x:f>B200</x:f>
        <x:v>0.1850103275302449</x:v>
      </x:c>
      <x:c r="F42" s="22"/>
      <x:c r="G42" s="22"/>
    </x:row>
    <x:row r="43">
      <x:c r="A43" s="16" t="str">
        <x:v>Interest expense／利息費用</x:v>
      </x:c>
      <x:c r="B43" s="18" t="str">
        <x:f>B201</x:f>
        <x:v>無法計算／待確認</x:v>
      </x:c>
      <x:c r="C43" s="19" t="str">
        <x:f>B202</x:f>
        <x:v>無法計算／待確認</x:v>
      </x:c>
      <x:c r="D43" s="18" t="str">
        <x:f>B203</x:f>
        <x:v>無法計算／待確認</x:v>
      </x:c>
      <x:c r="E43" s="19" t="str">
        <x:f>B204</x:f>
        <x:v>無法計算／待確認</x:v>
      </x:c>
      <x:c r="F43" s="22"/>
      <x:c r="G43" s="22"/>
    </x:row>
    <x:row r="44">
      <x:c r="A44" s="16" t="str">
        <x:v>Income before taxes／稅前利益</x:v>
      </x:c>
      <x:c r="B44" s="18" t="n">
        <x:f>B205</x:f>
        <x:v>268</x:v>
      </x:c>
      <x:c r="C44" s="19" t="n">
        <x:f>B206</x:f>
        <x:v>0.10885458976441917</x:v>
      </x:c>
      <x:c r="D44" s="18" t="n">
        <x:f>B207</x:f>
        <x:v>330</x:v>
      </x:c>
      <x:c r="E44" s="19" t="n">
        <x:f>B208</x:f>
        <x:v>0.09737385659486575</x:v>
      </x:c>
      <x:c r="F44" s="22"/>
      <x:c r="G44" s="22"/>
    </x:row>
    <x:row r="45">
      <x:c r="A45" s="16" t="str">
        <x:v>Income tax expense／所得稅費用／利益</x:v>
      </x:c>
      <x:c r="B45" s="18" t="n">
        <x:f>B209</x:f>
        <x:v>80</x:v>
      </x:c>
      <x:c r="C45" s="19" t="n">
        <x:f>B210</x:f>
        <x:v>0.03249390739236393</x:v>
      </x:c>
      <x:c r="D45" s="18" t="n">
        <x:f>B211</x:f>
        <x:v>57</x:v>
      </x:c>
      <x:c r="E45" s="19" t="n">
        <x:f>B212</x:f>
        <x:v>0.01681912068456772</x:v>
      </x:c>
      <x:c r="F45" s="22"/>
      <x:c r="G45" s="22"/>
    </x:row>
    <x:row r="46">
      <x:c r="A46" s="16" t="str">
        <x:v>Net income／稅後淨利</x:v>
      </x:c>
      <x:c r="B46" s="18" t="n">
        <x:f>B213</x:f>
        <x:v>188</x:v>
      </x:c>
      <x:c r="C46" s="19" t="n">
        <x:f>B214</x:f>
        <x:v>0.07636068237205523</x:v>
      </x:c>
      <x:c r="D46" s="18" t="n">
        <x:f>B215</x:f>
        <x:v>273</x:v>
      </x:c>
      <x:c r="E46" s="19" t="n">
        <x:f>B216</x:f>
        <x:v>0.08055473591029802</x:v>
      </x:c>
      <x:c r="F46" s="22"/>
      <x:c r="G46" s="22"/>
    </x:row>
    <x:row r="47">
      <x:c r="A47" s="16"/>
      <x:c r="B47" s="16"/>
      <x:c r="C47" s="16"/>
      <x:c r="D47" s="16"/>
      <x:c r="E47" s="16"/>
      <x:c r="F47" s="22"/>
      <x:c r="G47" s="22"/>
    </x:row>
    <x:row r="48">
      <x:c r="A48" s="16"/>
      <x:c r="B48" s="16"/>
      <x:c r="C48" s="16"/>
      <x:c r="D48" s="16"/>
      <x:c r="E48" s="16"/>
      <x:c r="F48" s="22"/>
      <x:c r="G48" s="22"/>
    </x:row>
    <x:row r="49">
      <x:c r="A49" s="16" t="str">
        <x:v>Ratios YTD</x:v>
      </x:c>
      <x:c r="B49" s="16"/>
      <x:c r="C49" s="16"/>
      <x:c r="D49" s="16"/>
      <x:c r="E49" s="16"/>
      <x:c r="F49" s="22"/>
      <x:c r="G49" s="22"/>
    </x:row>
    <x:row r="50" ht="40" customHeight="1">
      <x:c r="A50" s="17" t="str">
        <x:v>科目</x:v>
      </x:c>
      <x:c r="B50" s="17" t="str">
        <x:v>2024-01-01～2024-12-31</x:v>
      </x:c>
      <x:c r="C50" s="17" t="str">
        <x:v>2025-01-01～2025-06-30</x:v>
      </x:c>
      <x:c r="D50" s="17" t="str">
        <x:v>2025-01-01～2025-12-31</x:v>
      </x:c>
      <x:c r="E50" s="17" t="str">
        <x:v>2026-01-01～2026-06-30</x:v>
      </x:c>
      <x:c r="F50" s="22"/>
      <x:c r="G50" s="22"/>
    </x:row>
    <x:row r="51">
      <x:c r="A51" s="16" t="str">
        <x:v>Current ratio／流動比率</x:v>
      </x:c>
      <x:c r="B51" s="19" t="n">
        <x:f>B217</x:f>
        <x:v>1.656449553001277</x:v>
      </x:c>
      <x:c r="C51" s="19" t="n">
        <x:f>B218</x:f>
        <x:v>1.6889428918590523</x:v>
      </x:c>
      <x:c r="D51" s="19" t="n">
        <x:f>B219</x:f>
        <x:v>2.071729957805907</x:v>
      </x:c>
      <x:c r="E51" s="19" t="n">
        <x:f>B220</x:f>
        <x:v>1.5615264797507789</x:v>
      </x:c>
      <x:c r="F51" s="22"/>
      <x:c r="G51" s="22"/>
    </x:row>
    <x:row r="52">
      <x:c r="A52" s="16" t="str">
        <x:v>Quick ratio／速動比率</x:v>
      </x:c>
      <x:c r="B52" s="19" t="str">
        <x:f>B221</x:f>
        <x:v>無法計算／待確認</x:v>
      </x:c>
      <x:c r="C52" s="19" t="str">
        <x:f>B222</x:f>
        <x:v>無法計算／待確認</x:v>
      </x:c>
      <x:c r="D52" s="19" t="str">
        <x:f>B223</x:f>
        <x:v>無法計算／待確認</x:v>
      </x:c>
      <x:c r="E52" s="19" t="str">
        <x:f>B224</x:f>
        <x:v>無法計算／待確認</x:v>
      </x:c>
      <x:c r="F52" s="22"/>
      <x:c r="G52" s="22"/>
    </x:row>
    <x:row r="53">
      <x:c r="A53" s="16" t="str">
        <x:v>Debt ratio／負債比率</x:v>
      </x:c>
      <x:c r="B53" s="19" t="str">
        <x:f>B225</x:f>
        <x:v>無法計算／待確認</x:v>
      </x:c>
      <x:c r="C53" s="19" t="str">
        <x:f>B226</x:f>
        <x:v>無法計算／待確認</x:v>
      </x:c>
      <x:c r="D53" s="19" t="str">
        <x:f>B227</x:f>
        <x:v>無法計算／待確認</x:v>
      </x:c>
      <x:c r="E53" s="19" t="str">
        <x:f>B228</x:f>
        <x:v>無法計算／待確認</x:v>
      </x:c>
      <x:c r="F53" s="22"/>
      <x:c r="G53" s="22"/>
    </x:row>
    <x:row r="54">
      <x:c r="A54" s="16"/>
      <x:c r="B54" s="16"/>
      <x:c r="C54" s="16"/>
      <x:c r="D54" s="16"/>
      <x:c r="E54" s="16"/>
      <x:c r="F54" s="22"/>
      <x:c r="G54" s="22"/>
    </x:row>
    <x:row r="55">
      <x:c r="A55" s="16"/>
      <x:c r="B55" s="16"/>
      <x:c r="C55" s="16"/>
      <x:c r="D55" s="16"/>
      <x:c r="E55" s="16"/>
      <x:c r="F55" s="22"/>
      <x:c r="G55" s="22"/>
    </x:row>
    <x:row r="56">
      <x:c r="A56" s="16" t="str">
        <x:v>Leverage Analysis YTD</x:v>
      </x:c>
      <x:c r="B56" s="16"/>
      <x:c r="C56" s="16"/>
      <x:c r="D56" s="16"/>
      <x:c r="E56" s="16"/>
      <x:c r="F56" s="22"/>
      <x:c r="G56" s="22"/>
    </x:row>
    <x:row r="57" ht="40" customHeight="1">
      <x:c r="A57" s="17" t="str">
        <x:v>科目</x:v>
      </x:c>
      <x:c r="B57" s="17" t="str">
        <x:v>2024-01-01～2024-12-31</x:v>
      </x:c>
      <x:c r="C57" s="17" t="str">
        <x:v>2025-01-01～2025-06-30</x:v>
      </x:c>
      <x:c r="D57" s="17" t="str">
        <x:v>2025-01-01～2025-12-31</x:v>
      </x:c>
      <x:c r="E57" s="17" t="str">
        <x:v>2026-01-01～2026-06-30</x:v>
      </x:c>
      <x:c r="F57" s="22"/>
      <x:c r="G57" s="22"/>
    </x:row>
    <x:row r="58">
      <x:c r="A58" s="16" t="str">
        <x:v>Total debt／總債務</x:v>
      </x:c>
      <x:c r="B58" s="18" t="str">
        <x:f>B229</x:f>
        <x:v>缺少資料</x:v>
      </x:c>
      <x:c r="C58" s="18" t="str">
        <x:f>B230</x:f>
        <x:v>缺少資料</x:v>
      </x:c>
      <x:c r="D58" s="18" t="str">
        <x:f>B231</x:f>
        <x:v>缺少資料</x:v>
      </x:c>
      <x:c r="E58" s="18" t="str">
        <x:f>B232</x:f>
        <x:v>缺少資料</x:v>
      </x:c>
      <x:c r="F58" s="22"/>
      <x:c r="G58" s="22"/>
    </x:row>
    <x:row r="59">
      <x:c r="A59" s="16" t="str">
        <x:v>LTM EBITDA／最近完整年度 EBITDA</x:v>
      </x:c>
      <x:c r="B59" s="18" t="str">
        <x:f>B233</x:f>
        <x:v>無法計算／待確認</x:v>
      </x:c>
      <x:c r="C59" s="18" t="str">
        <x:f>B234</x:f>
        <x:v>無法計算／待確認</x:v>
      </x:c>
      <x:c r="D59" s="18" t="str">
        <x:f>B235</x:f>
        <x:v>無法計算／待確認</x:v>
      </x:c>
      <x:c r="E59" s="18" t="str">
        <x:f>B236</x:f>
        <x:v>無法計算／待確認</x:v>
      </x:c>
      <x:c r="F59" s="22"/>
      <x:c r="G59" s="22"/>
    </x:row>
    <x:row r="60">
      <x:c r="A60" s="16" t="str">
        <x:v>EBITDA basis／EBITDA 計算口徑</x:v>
      </x:c>
      <x:c r="B60" s="18" t="str">
        <x:f>B237</x:f>
        <x:v>缺少資料</x:v>
      </x:c>
      <x:c r="C60" s="18" t="str">
        <x:f>B238</x:f>
        <x:v>缺少資料</x:v>
      </x:c>
      <x:c r="D60" s="18" t="str">
        <x:f>B239</x:f>
        <x:v>缺少資料</x:v>
      </x:c>
      <x:c r="E60" s="18" t="str">
        <x:f>B240</x:f>
        <x:v>缺少資料</x:v>
      </x:c>
      <x:c r="F60" s="22"/>
      <x:c r="G60" s="22"/>
    </x:row>
    <x:row r="61">
      <x:c r="A61" s="16" t="str">
        <x:v>Total leverage ratio／總槓桿倍數</x:v>
      </x:c>
      <x:c r="B61" s="20" t="str">
        <x:f>B241</x:f>
        <x:v>無法計算／待確認</x:v>
      </x:c>
      <x:c r="C61" s="20" t="str">
        <x:f>B242</x:f>
        <x:v>無法計算／待確認</x:v>
      </x:c>
      <x:c r="D61" s="20" t="str">
        <x:f>B243</x:f>
        <x:v>無法計算／待確認</x:v>
      </x:c>
      <x:c r="E61" s="20" t="str">
        <x:f>B244</x:f>
        <x:v>無法計算／待確認</x:v>
      </x:c>
      <x:c r="F61" s="22"/>
      <x:c r="G61" s="22"/>
    </x:row>
    <x:row r="62">
      <x:c r="A62" s="16"/>
      <x:c r="B62" s="16"/>
      <x:c r="C62" s="16"/>
      <x:c r="D62" s="16"/>
      <x:c r="E62" s="16"/>
      <x:c r="F62" s="22"/>
      <x:c r="G62" s="22"/>
    </x:row>
    <x:row r="63">
      <x:c r="A63" s="16"/>
      <x:c r="B63" s="16"/>
      <x:c r="C63" s="16"/>
      <x:c r="D63" s="16"/>
      <x:c r="E63" s="16"/>
      <x:c r="F63" s="22"/>
      <x:c r="G63" s="22"/>
    </x:row>
    <x:row r="64">
      <x:c r="A64" s="16"/>
      <x:c r="B64" s="16"/>
      <x:c r="C64" s="16"/>
      <x:c r="D64" s="16"/>
      <x:c r="E64" s="16"/>
      <x:c r="F64" s="22"/>
      <x:c r="G64" s="22"/>
    </x:row>
    <x:row r="65">
      <x:c r="A65" s="16"/>
      <x:c r="B65" s="16"/>
      <x:c r="C65" s="16"/>
      <x:c r="D65" s="16"/>
      <x:c r="E65" s="16"/>
      <x:c r="F65" s="22"/>
      <x:c r="G65" s="22"/>
    </x:row>
    <x:row r="66">
      <x:c r="A66" s="16" t="str">
        <x:v>來源與計算明細：原值保留，核准不代表來源已核實</x:v>
      </x:c>
      <x:c r="B66" s="16"/>
      <x:c r="C66" s="16"/>
      <x:c r="D66" s="16"/>
      <x:c r="E66" s="16"/>
      <x:c r="F66" s="22"/>
      <x:c r="G66" s="22"/>
    </x:row>
    <x:row r="67">
      <x:c r="A67" s="16"/>
      <x:c r="B67" s="16"/>
      <x:c r="C67" s="16"/>
      <x:c r="D67" s="16"/>
      <x:c r="E67" s="16"/>
      <x:c r="F67" s="22"/>
      <x:c r="G67" s="22"/>
    </x:row>
    <x:row r="68">
      <x:c r="A68" s="21" t="str">
        <x:v>案例／科目／期間</x:v>
      </x:c>
      <x:c r="B68" s="21" t="str">
        <x:v>報表值</x:v>
      </x:c>
      <x:c r="C68" s="21" t="str">
        <x:v>原始值</x:v>
      </x:c>
      <x:c r="D68" s="21" t="str">
        <x:v>來源金額單位</x:v>
      </x:c>
      <x:c r="E68" s="21" t="str">
        <x:v>狀態</x:v>
      </x:c>
      <x:c r="F68" s="17" t="str">
        <x:v>定義／限制</x:v>
      </x:c>
      <x:c r="G68" s="17" t="str">
        <x:v>來源儲存格／證據</x:v>
      </x:c>
    </x:row>
    <x:row r="69">
      <x:c r="A69" s="16" t="str">
        <x:v>Quarter_Q1/revenue/prior_interim</x:v>
      </x:c>
      <x:c r="B69" s="18" t="n">
        <x:f>IF(AND(ISNUMBER(C69),ISNUMBER(D69)),C69*D69/1000000,"缺少資料")</x:f>
        <x:v>1234</x:v>
      </x:c>
      <x:c r="C69" s="16" t="n">
        <x:v>1234000</x:v>
      </x:c>
      <x:c r="D69" s="16" t="n">
        <x:v>1000</x:v>
      </x:c>
      <x:c r="E69" s="16" t="str">
        <x:v>sourced</x:v>
      </x:c>
      <x:c r="F69" s="22" t="str">
        <x:v>Revenues</x:v>
      </x:c>
      <x:c r="G69" s="22" t="str">
        <x:v>/Users/yuntzuyu/Downloads/e-loan/Quarter/E-Loan YQYQ-Nexstar Q1.xls#Report1!I80; label=A80; dates=I6,I76; unit=O4</x:v>
      </x:c>
    </x:row>
    <x:row r="70">
      <x:c r="A70" s="16" t="str">
        <x:v>Quarter_Q1/revenue/prior_interim</x:v>
      </x:c>
      <x:c r="B70" s="19" t="n">
        <x:f>IF(AND(ISNUMBER(B69),ISNUMBER(B69)),IF(B69=0,"無法計算",B69/B69),"缺少資料")</x:f>
        <x:v>1</x:v>
      </x:c>
      <x:c r="C70" s="16"/>
      <x:c r="D70" s="16"/>
      <x:c r="E70" s="16" t="str">
        <x:v>calculated</x:v>
      </x:c>
      <x:c r="F70" s="22" t="str">
        <x:v>revenue / revenue</x:v>
      </x:c>
      <x:c r="G70" s="22" t="str"/>
    </x:row>
    <x:row r="71">
      <x:c r="A71" s="16" t="str">
        <x:v>Quarter_Q1/revenue/current_interim</x:v>
      </x:c>
      <x:c r="B71" s="18" t="n">
        <x:f>IF(AND(ISNUMBER(C71),ISNUMBER(D71)),C71*D71/1000000,"缺少資料")</x:f>
        <x:v>1396</x:v>
      </x:c>
      <x:c r="C71" s="16" t="n">
        <x:v>1396000</x:v>
      </x:c>
      <x:c r="D71" s="16" t="n">
        <x:v>1000</x:v>
      </x:c>
      <x:c r="E71" s="16" t="str">
        <x:v>sourced</x:v>
      </x:c>
      <x:c r="F71" s="22" t="str">
        <x:v>Revenues</x:v>
      </x:c>
      <x:c r="G71" s="22" t="str">
        <x:v>/Users/yuntzuyu/Downloads/e-loan/Quarter/E-Loan YQYQ-Nexstar Q1.xls#Report1!R80; label=A80; dates=R6,R76; unit=O4</x:v>
      </x:c>
    </x:row>
    <x:row r="72">
      <x:c r="A72" s="16" t="str">
        <x:v>Quarter_Q1/revenue/current_interim</x:v>
      </x:c>
      <x:c r="B72" s="19" t="n">
        <x:f>IF(AND(ISNUMBER(B71),ISNUMBER(B71)),IF(B71=0,"無法計算",B71/B71),"缺少資料")</x:f>
        <x:v>1</x:v>
      </x:c>
      <x:c r="C72" s="16"/>
      <x:c r="D72" s="16"/>
      <x:c r="E72" s="16" t="str">
        <x:v>calculated</x:v>
      </x:c>
      <x:c r="F72" s="22" t="str">
        <x:v>revenue / revenue</x:v>
      </x:c>
      <x:c r="G72" s="22" t="str"/>
    </x:row>
    <x:row r="73">
      <x:c r="A73" s="16" t="str">
        <x:v>Quarter_Q1/cost_of_revenue/prior_interim</x:v>
      </x:c>
      <x:c r="B73" s="18" t="n">
        <x:f>IF(AND(ISNUMBER(C73),ISNUMBER(D73)),C73*D73/1000000,"缺少資料")</x:f>
        <x:v>551</x:v>
      </x:c>
      <x:c r="C73" s="16" t="n">
        <x:v>551000</x:v>
      </x:c>
      <x:c r="D73" s="16" t="n">
        <x:v>1000</x:v>
      </x:c>
      <x:c r="E73" s="16" t="str">
        <x:v>sourced</x:v>
      </x:c>
      <x:c r="F73" s="22" t="str">
        <x:v>Operating Cost</x:v>
      </x:c>
      <x:c r="G73" s="22" t="str">
        <x:v>/Users/yuntzuyu/Downloads/e-loan/Quarter/E-Loan YQYQ-Nexstar Q1.xls#Report1!I86; label=A86; dates=I6,I76; unit=O4</x:v>
      </x:c>
    </x:row>
    <x:row r="74">
      <x:c r="A74" s="16" t="str">
        <x:v>Quarter_Q1/cost_of_revenue/prior_interim</x:v>
      </x:c>
      <x:c r="B74" s="19" t="n">
        <x:f>IF(AND(ISNUMBER(B73),ISNUMBER(B69)),IF(B69=0,"無法計算",B73/B69),"缺少資料")</x:f>
        <x:v>0.446515397082658</x:v>
      </x:c>
      <x:c r="C74" s="16"/>
      <x:c r="D74" s="16"/>
      <x:c r="E74" s="16" t="str">
        <x:v>calculated</x:v>
      </x:c>
      <x:c r="F74" s="22" t="str">
        <x:v>cost_of_revenue / revenue</x:v>
      </x:c>
      <x:c r="G74" s="22" t="str"/>
    </x:row>
    <x:row r="75">
      <x:c r="A75" s="16" t="str">
        <x:v>Quarter_Q1/cost_of_revenue/current_interim</x:v>
      </x:c>
      <x:c r="B75" s="18" t="n">
        <x:f>IF(AND(ISNUMBER(C75),ISNUMBER(D75)),C75*D75/1000000,"缺少資料")</x:f>
        <x:v>611</x:v>
      </x:c>
      <x:c r="C75" s="16" t="n">
        <x:v>611000</x:v>
      </x:c>
      <x:c r="D75" s="16" t="n">
        <x:v>1000</x:v>
      </x:c>
      <x:c r="E75" s="16" t="str">
        <x:v>sourced</x:v>
      </x:c>
      <x:c r="F75" s="22" t="str">
        <x:v>Operating Cost</x:v>
      </x:c>
      <x:c r="G75" s="22" t="str">
        <x:v>/Users/yuntzuyu/Downloads/e-loan/Quarter/E-Loan YQYQ-Nexstar Q1.xls#Report1!R86; label=A86; dates=R6,R76; unit=O4</x:v>
      </x:c>
    </x:row>
    <x:row r="76">
      <x:c r="A76" s="16" t="str">
        <x:v>Quarter_Q1/cost_of_revenue/current_interim</x:v>
      </x:c>
      <x:c r="B76" s="19" t="n">
        <x:f>IF(AND(ISNUMBER(B75),ISNUMBER(B71)),IF(B71=0,"無法計算",B75/B71),"缺少資料")</x:f>
        <x:v>0.4376790830945559</x:v>
      </x:c>
      <x:c r="C76" s="16"/>
      <x:c r="D76" s="16"/>
      <x:c r="E76" s="16" t="str">
        <x:v>calculated</x:v>
      </x:c>
      <x:c r="F76" s="22" t="str">
        <x:v>cost_of_revenue / revenue</x:v>
      </x:c>
      <x:c r="G76" s="22" t="str"/>
    </x:row>
    <x:row r="77">
      <x:c r="A77" s="16" t="str">
        <x:v>Quarter_Q1/gross_profit/prior_interim</x:v>
      </x:c>
      <x:c r="B77" s="18" t="n">
        <x:f>IF(AND(ISNUMBER(C77),ISNUMBER(D77)),C77*D77/1000000,"缺少資料")</x:f>
        <x:v>683</x:v>
      </x:c>
      <x:c r="C77" s="16" t="n">
        <x:v>683000</x:v>
      </x:c>
      <x:c r="D77" s="16" t="n">
        <x:v>1000</x:v>
      </x:c>
      <x:c r="E77" s="16" t="str">
        <x:v>sourced</x:v>
      </x:c>
      <x:c r="F77" s="22" t="str">
        <x:v>Gross Profit</x:v>
      </x:c>
      <x:c r="G77" s="22" t="str">
        <x:v>/Users/yuntzuyu/Downloads/e-loan/Quarter/E-Loan YQYQ-Nexstar Q1.xls#Report1!I94; label=A94; dates=I6,I76; unit=O4</x:v>
      </x:c>
    </x:row>
    <x:row r="78">
      <x:c r="A78" s="16" t="str">
        <x:v>Quarter_Q1/gross_profit/prior_interim</x:v>
      </x:c>
      <x:c r="B78" s="19" t="n">
        <x:f>IF(AND(ISNUMBER(B77),ISNUMBER(B69)),IF(B69=0,"無法計算",B77/B69),"缺少資料")</x:f>
        <x:v>0.553484602917342</x:v>
      </x:c>
      <x:c r="C78" s="16"/>
      <x:c r="D78" s="16"/>
      <x:c r="E78" s="16" t="str">
        <x:v>calculated</x:v>
      </x:c>
      <x:c r="F78" s="22" t="str">
        <x:v>gross_profit / revenue</x:v>
      </x:c>
      <x:c r="G78" s="22" t="str"/>
    </x:row>
    <x:row r="79">
      <x:c r="A79" s="16" t="str">
        <x:v>Quarter_Q1/gross_profit/current_interim</x:v>
      </x:c>
      <x:c r="B79" s="18" t="n">
        <x:f>IF(AND(ISNUMBER(C79),ISNUMBER(D79)),C79*D79/1000000,"缺少資料")</x:f>
        <x:v>785</x:v>
      </x:c>
      <x:c r="C79" s="16" t="n">
        <x:v>785000</x:v>
      </x:c>
      <x:c r="D79" s="16" t="n">
        <x:v>1000</x:v>
      </x:c>
      <x:c r="E79" s="16" t="str">
        <x:v>sourced</x:v>
      </x:c>
      <x:c r="F79" s="22" t="str">
        <x:v>Gross Profit</x:v>
      </x:c>
      <x:c r="G79" s="22" t="str">
        <x:v>/Users/yuntzuyu/Downloads/e-loan/Quarter/E-Loan YQYQ-Nexstar Q1.xls#Report1!R94; label=A94; dates=R6,R76; unit=O4</x:v>
      </x:c>
    </x:row>
    <x:row r="80">
      <x:c r="A80" s="16" t="str">
        <x:v>Quarter_Q1/gross_profit/current_interim</x:v>
      </x:c>
      <x:c r="B80" s="19" t="n">
        <x:f>IF(AND(ISNUMBER(B79),ISNUMBER(B71)),IF(B71=0,"無法計算",B79/B71),"缺少資料")</x:f>
        <x:v>0.5623209169054442</x:v>
      </x:c>
      <x:c r="C80" s="16"/>
      <x:c r="D80" s="16"/>
      <x:c r="E80" s="16" t="str">
        <x:v>calculated</x:v>
      </x:c>
      <x:c r="F80" s="22" t="str">
        <x:v>gross_profit / revenue</x:v>
      </x:c>
      <x:c r="G80" s="22" t="str"/>
    </x:row>
    <x:row r="81">
      <x:c r="A81" s="16" t="str">
        <x:v>Quarter_Q1/operating_expense/prior_interim</x:v>
      </x:c>
      <x:c r="B81" s="18" t="str">
        <x:v>無法計算／待確認</x:v>
      </x:c>
      <x:c r="C81" s="16"/>
      <x:c r="D81" s="16"/>
      <x:c r="E81" s="16" t="str">
        <x:v>無法計算／待確認</x:v>
      </x:c>
      <x:c r="F81" s="22" t="str">
        <x:v>Operating Expense 包含／排除COGS及完整範圍未核實；原值保留於來源清單</x:v>
      </x:c>
      <x:c r="G81" s="22" t="str">
        <x:v>/Users/yuntzuyu/Downloads/e-loan/Quarter/E-Loan YQYQ-Nexstar Q1.xls#Report1!I96; label=A96; dates=I6,I76; unit=O4</x:v>
      </x:c>
    </x:row>
    <x:row r="82">
      <x:c r="A82" s="16" t="str">
        <x:v>Quarter_Q1/operating_expense/prior_interim</x:v>
      </x:c>
      <x:c r="B82" s="19" t="str">
        <x:v>無法計算／待確認</x:v>
      </x:c>
      <x:c r="C82" s="16"/>
      <x:c r="D82" s="16"/>
      <x:c r="E82" s="16" t="str">
        <x:v>無法計算／待確認</x:v>
      </x:c>
      <x:c r="F82" s="22" t="str">
        <x:v>Required inputs unavailable</x:v>
      </x:c>
      <x:c r="G82" s="22" t="str"/>
    </x:row>
    <x:row r="83">
      <x:c r="A83" s="16" t="str">
        <x:v>Quarter_Q1/operating_expense/current_interim</x:v>
      </x:c>
      <x:c r="B83" s="18" t="str">
        <x:v>無法計算／待確認</x:v>
      </x:c>
      <x:c r="C83" s="16"/>
      <x:c r="D83" s="16"/>
      <x:c r="E83" s="16" t="str">
        <x:v>無法計算／待確認</x:v>
      </x:c>
      <x:c r="F83" s="22" t="str">
        <x:v>Operating Expense 包含／排除COGS及完整範圍未核實；原值保留於來源清單</x:v>
      </x:c>
      <x:c r="G83" s="22" t="str">
        <x:v>/Users/yuntzuyu/Downloads/e-loan/Quarter/E-Loan YQYQ-Nexstar Q1.xls#Report1!R96; label=A96; dates=R6,R76; unit=O4</x:v>
      </x:c>
    </x:row>
    <x:row r="84">
      <x:c r="A84" s="16" t="str">
        <x:v>Quarter_Q1/operating_expense/current_interim</x:v>
      </x:c>
      <x:c r="B84" s="19" t="str">
        <x:v>無法計算／待確認</x:v>
      </x:c>
      <x:c r="C84" s="16"/>
      <x:c r="D84" s="16"/>
      <x:c r="E84" s="16" t="str">
        <x:v>無法計算／待確認</x:v>
      </x:c>
      <x:c r="F84" s="22" t="str">
        <x:v>Required inputs unavailable</x:v>
      </x:c>
      <x:c r="G84" s="22" t="str"/>
    </x:row>
    <x:row r="85">
      <x:c r="A85" s="16" t="str">
        <x:v>Quarter_Q1/operating_income/prior_interim</x:v>
      </x:c>
      <x:c r="B85" s="18" t="n">
        <x:f>IF(AND(ISNUMBER(C85),ISNUMBER(D85)),C85*D85/1000000,"缺少資料")</x:f>
        <x:v>220</x:v>
      </x:c>
      <x:c r="C85" s="16" t="n">
        <x:v>220000</x:v>
      </x:c>
      <x:c r="D85" s="16" t="n">
        <x:v>1000</x:v>
      </x:c>
      <x:c r="E85" s="16" t="str">
        <x:v>sourced</x:v>
      </x:c>
      <x:c r="F85" s="22" t="str">
        <x:v>Operating Profit</x:v>
      </x:c>
      <x:c r="G85" s="22" t="str">
        <x:v>/Users/yuntzuyu/Downloads/e-loan/Quarter/E-Loan YQYQ-Nexstar Q1.xls#Report1!I97; label=A97; dates=I6,I76; unit=O4</x:v>
      </x:c>
    </x:row>
    <x:row r="86">
      <x:c r="A86" s="16" t="str">
        <x:v>Quarter_Q1/operating_income/prior_interim</x:v>
      </x:c>
      <x:c r="B86" s="19" t="n">
        <x:f>IF(AND(ISNUMBER(B85),ISNUMBER(B69)),IF(B69=0,"無法計算",B85/B69),"缺少資料")</x:f>
        <x:v>0.17828200972447325</x:v>
      </x:c>
      <x:c r="C86" s="16"/>
      <x:c r="D86" s="16"/>
      <x:c r="E86" s="16" t="str">
        <x:v>calculated</x:v>
      </x:c>
      <x:c r="F86" s="22" t="str">
        <x:v>operating_income / revenue</x:v>
      </x:c>
      <x:c r="G86" s="22" t="str"/>
    </x:row>
    <x:row r="87">
      <x:c r="A87" s="16" t="str">
        <x:v>Quarter_Q1/operating_income/current_interim</x:v>
      </x:c>
      <x:c r="B87" s="18" t="n">
        <x:f>IF(AND(ISNUMBER(C87),ISNUMBER(D87)),C87*D87/1000000,"缺少資料")</x:f>
        <x:v>265</x:v>
      </x:c>
      <x:c r="C87" s="16" t="n">
        <x:v>265000</x:v>
      </x:c>
      <x:c r="D87" s="16" t="n">
        <x:v>1000</x:v>
      </x:c>
      <x:c r="E87" s="16" t="str">
        <x:v>sourced</x:v>
      </x:c>
      <x:c r="F87" s="22" t="str">
        <x:v>Operating Profit</x:v>
      </x:c>
      <x:c r="G87" s="22" t="str">
        <x:v>/Users/yuntzuyu/Downloads/e-loan/Quarter/E-Loan YQYQ-Nexstar Q1.xls#Report1!R97; label=A97; dates=R6,R76; unit=O4</x:v>
      </x:c>
    </x:row>
    <x:row r="88">
      <x:c r="A88" s="16" t="str">
        <x:v>Quarter_Q1/operating_income/current_interim</x:v>
      </x:c>
      <x:c r="B88" s="19" t="n">
        <x:f>IF(AND(ISNUMBER(B87),ISNUMBER(B71)),IF(B71=0,"無法計算",B87/B71),"缺少資料")</x:f>
        <x:v>0.18982808022922637</x:v>
      </x:c>
      <x:c r="C88" s="16"/>
      <x:c r="D88" s="16"/>
      <x:c r="E88" s="16" t="str">
        <x:v>calculated</x:v>
      </x:c>
      <x:c r="F88" s="22" t="str">
        <x:v>operating_income / revenue</x:v>
      </x:c>
      <x:c r="G88" s="22" t="str"/>
    </x:row>
    <x:row r="89">
      <x:c r="A89" s="16" t="str">
        <x:v>Quarter_Q1/interest_expense/prior_interim</x:v>
      </x:c>
      <x:c r="B89" s="18" t="str">
        <x:v>無法計算／待確認</x:v>
      </x:c>
      <x:c r="C89" s="16"/>
      <x:c r="D89" s="16"/>
      <x:c r="E89" s="16" t="str">
        <x:v>無法計算／待確認</x:v>
      </x:c>
      <x:c r="F89" s="22" t="str">
        <x:v>Approved policy; company-specific source definition not yet verified; candidate retained</x:v>
      </x:c>
      <x:c r="G89" s="22" t="str">
        <x:v>/Users/yuntzuyu/Downloads/e-loan/Quarter/E-Loan YQYQ-Nexstar Q1.xls#Report1!I106; label=A106; dates=I6,I76; unit=O4</x:v>
      </x:c>
    </x:row>
    <x:row r="90">
      <x:c r="A90" s="16" t="str">
        <x:v>Quarter_Q1/interest_expense/prior_interim</x:v>
      </x:c>
      <x:c r="B90" s="19" t="str">
        <x:v>無法計算／待確認</x:v>
      </x:c>
      <x:c r="C90" s="16"/>
      <x:c r="D90" s="16"/>
      <x:c r="E90" s="16" t="str">
        <x:v>無法計算／待確認</x:v>
      </x:c>
      <x:c r="F90" s="22" t="str">
        <x:v>Required inputs unavailable</x:v>
      </x:c>
      <x:c r="G90" s="22" t="str"/>
    </x:row>
    <x:row r="91">
      <x:c r="A91" s="16" t="str">
        <x:v>Quarter_Q1/interest_expense/current_interim</x:v>
      </x:c>
      <x:c r="B91" s="18" t="str">
        <x:v>無法計算／待確認</x:v>
      </x:c>
      <x:c r="C91" s="16"/>
      <x:c r="D91" s="16"/>
      <x:c r="E91" s="16" t="str">
        <x:v>無法計算／待確認</x:v>
      </x:c>
      <x:c r="F91" s="22" t="str">
        <x:v>Approved policy; company-specific source definition not yet verified; candidate retained</x:v>
      </x:c>
      <x:c r="G91" s="22" t="str">
        <x:v>/Users/yuntzuyu/Downloads/e-loan/Quarter/E-Loan YQYQ-Nexstar Q1.xls#Report1!R106; label=A106; dates=R6,R76; unit=O4</x:v>
      </x:c>
    </x:row>
    <x:row r="92">
      <x:c r="A92" s="16" t="str">
        <x:v>Quarter_Q1/interest_expense/current_interim</x:v>
      </x:c>
      <x:c r="B92" s="19" t="str">
        <x:v>無法計算／待確認</x:v>
      </x:c>
      <x:c r="C92" s="16"/>
      <x:c r="D92" s="16"/>
      <x:c r="E92" s="16" t="str">
        <x:v>無法計算／待確認</x:v>
      </x:c>
      <x:c r="F92" s="22" t="str">
        <x:v>Required inputs unavailable</x:v>
      </x:c>
      <x:c r="G92" s="22" t="str"/>
    </x:row>
    <x:row r="93">
      <x:c r="A93" s="16" t="str">
        <x:v>Quarter_Q1/pretax_profit/prior_interim</x:v>
      </x:c>
      <x:c r="B93" s="18" t="n">
        <x:f>IF(AND(ISNUMBER(C93),ISNUMBER(D93)),C93*D93/1000000,"缺少資料")</x:f>
        <x:v>138</x:v>
      </x:c>
      <x:c r="C93" s="16" t="n">
        <x:v>138000</x:v>
      </x:c>
      <x:c r="D93" s="16" t="n">
        <x:v>1000</x:v>
      </x:c>
      <x:c r="E93" s="16" t="str">
        <x:v>sourced</x:v>
      </x:c>
      <x:c r="F93" s="22" t="str">
        <x:v>Pre-tax Profit (Loss)</x:v>
      </x:c>
      <x:c r="G93" s="22" t="str">
        <x:v>/Users/yuntzuyu/Downloads/e-loan/Quarter/E-Loan YQYQ-Nexstar Q1.xls#Report1!I111; label=A111; dates=I6,I76; unit=O4</x:v>
      </x:c>
    </x:row>
    <x:row r="94">
      <x:c r="A94" s="16" t="str">
        <x:v>Quarter_Q1/pretax_profit/prior_interim</x:v>
      </x:c>
      <x:c r="B94" s="19" t="n">
        <x:f>IF(AND(ISNUMBER(B93),ISNUMBER(B69)),IF(B69=0,"無法計算",B93/B69),"缺少資料")</x:f>
        <x:v>0.11183144246353323</x:v>
      </x:c>
      <x:c r="C94" s="16"/>
      <x:c r="D94" s="16"/>
      <x:c r="E94" s="16" t="str">
        <x:v>calculated</x:v>
      </x:c>
      <x:c r="F94" s="22" t="str">
        <x:v>pretax_profit / revenue</x:v>
      </x:c>
      <x:c r="G94" s="22" t="str"/>
    </x:row>
    <x:row r="95">
      <x:c r="A95" s="16" t="str">
        <x:v>Quarter_Q1/pretax_profit/current_interim</x:v>
      </x:c>
      <x:c r="B95" s="18" t="n">
        <x:f>IF(AND(ISNUMBER(C95),ISNUMBER(D95)),C95*D95/1000000,"缺少資料")</x:f>
        <x:v>153</x:v>
      </x:c>
      <x:c r="C95" s="16" t="n">
        <x:v>153000</x:v>
      </x:c>
      <x:c r="D95" s="16" t="n">
        <x:v>1000</x:v>
      </x:c>
      <x:c r="E95" s="16" t="str">
        <x:v>sourced</x:v>
      </x:c>
      <x:c r="F95" s="22" t="str">
        <x:v>Pre-tax Profit (Loss)</x:v>
      </x:c>
      <x:c r="G95" s="22" t="str">
        <x:v>/Users/yuntzuyu/Downloads/e-loan/Quarter/E-Loan YQYQ-Nexstar Q1.xls#Report1!R111; label=A111; dates=R6,R76; unit=O4</x:v>
      </x:c>
    </x:row>
    <x:row r="96">
      <x:c r="A96" s="16" t="str">
        <x:v>Quarter_Q1/pretax_profit/current_interim</x:v>
      </x:c>
      <x:c r="B96" s="19" t="n">
        <x:f>IF(AND(ISNUMBER(B95),ISNUMBER(B71)),IF(B71=0,"無法計算",B95/B71),"缺少資料")</x:f>
        <x:v>0.10959885386819485</x:v>
      </x:c>
      <x:c r="C96" s="16"/>
      <x:c r="D96" s="16"/>
      <x:c r="E96" s="16" t="str">
        <x:v>calculated</x:v>
      </x:c>
      <x:c r="F96" s="22" t="str">
        <x:v>pretax_profit / revenue</x:v>
      </x:c>
      <x:c r="G96" s="22" t="str"/>
    </x:row>
    <x:row r="97">
      <x:c r="A97" s="16" t="str">
        <x:v>Quarter_Q1/income_tax/prior_interim</x:v>
      </x:c>
      <x:c r="B97" s="18" t="n">
        <x:f>IF(AND(ISNUMBER(C97),ISNUMBER(D97)),C97*D97/1000000,"缺少資料")</x:f>
        <x:v>41</x:v>
      </x:c>
      <x:c r="C97" s="16" t="n">
        <x:v>41000</x:v>
      </x:c>
      <x:c r="D97" s="16" t="n">
        <x:v>1000</x:v>
      </x:c>
      <x:c r="E97" s="16" t="str">
        <x:v>sourced</x:v>
      </x:c>
      <x:c r="F97" s="22" t="str">
        <x:v>Income Tax Expense(Credit)</x:v>
      </x:c>
      <x:c r="G97" s="22" t="str">
        <x:v>/Users/yuntzuyu/Downloads/e-loan/Quarter/E-Loan YQYQ-Nexstar Q1.xls#Report1!I112; label=A112; dates=I6,I76; unit=O4</x:v>
      </x:c>
    </x:row>
    <x:row r="98">
      <x:c r="A98" s="16" t="str">
        <x:v>Quarter_Q1/income_tax/prior_interim</x:v>
      </x:c>
      <x:c r="B98" s="19" t="n">
        <x:f>IF(AND(ISNUMBER(B97),ISNUMBER(B69)),IF(B69=0,"無法計算",B97/B69),"缺少資料")</x:f>
        <x:v>0.03322528363047002</x:v>
      </x:c>
      <x:c r="C98" s="16"/>
      <x:c r="D98" s="16"/>
      <x:c r="E98" s="16" t="str">
        <x:v>calculated</x:v>
      </x:c>
      <x:c r="F98" s="22" t="str">
        <x:v>income_tax / revenue</x:v>
      </x:c>
      <x:c r="G98" s="22" t="str"/>
    </x:row>
    <x:row r="99">
      <x:c r="A99" s="16" t="str">
        <x:v>Quarter_Q1/income_tax/current_interim</x:v>
      </x:c>
      <x:c r="B99" s="18" t="n">
        <x:f>IF(AND(ISNUMBER(C99),ISNUMBER(D99)),C99*D99/1000000,"缺少資料")</x:f>
        <x:v>-7</x:v>
      </x:c>
      <x:c r="C99" s="16" t="n">
        <x:v>-7000</x:v>
      </x:c>
      <x:c r="D99" s="16" t="n">
        <x:v>1000</x:v>
      </x:c>
      <x:c r="E99" s="16" t="str">
        <x:v>sourced</x:v>
      </x:c>
      <x:c r="F99" s="22" t="str">
        <x:v>Income Tax Expense(Credit)</x:v>
      </x:c>
      <x:c r="G99" s="22" t="str">
        <x:v>/Users/yuntzuyu/Downloads/e-loan/Quarter/E-Loan YQYQ-Nexstar Q1.xls#Report1!R112; label=A112; dates=R6,R76; unit=O4</x:v>
      </x:c>
    </x:row>
    <x:row r="100">
      <x:c r="A100" s="16" t="str">
        <x:v>Quarter_Q1/income_tax/current_interim</x:v>
      </x:c>
      <x:c r="B100" s="19" t="n">
        <x:f>IF(AND(ISNUMBER(B99),ISNUMBER(B71)),IF(B71=0,"無法計算",B99/B71),"缺少資料")</x:f>
        <x:v>-0.00501432664756447</x:v>
      </x:c>
      <x:c r="C100" s="16"/>
      <x:c r="D100" s="16"/>
      <x:c r="E100" s="16" t="str">
        <x:v>calculated</x:v>
      </x:c>
      <x:c r="F100" s="22" t="str">
        <x:v>income_tax / revenue</x:v>
      </x:c>
      <x:c r="G100" s="22" t="str"/>
    </x:row>
    <x:row r="101">
      <x:c r="A101" s="16" t="str">
        <x:v>Quarter_Q1/net_income/prior_interim</x:v>
      </x:c>
      <x:c r="B101" s="18" t="n">
        <x:f>IF(AND(ISNUMBER(C101),ISNUMBER(D101)),C101*D101/1000000,"缺少資料")</x:f>
        <x:v>97</x:v>
      </x:c>
      <x:c r="C101" s="16" t="n">
        <x:v>97000</x:v>
      </x:c>
      <x:c r="D101" s="16" t="n">
        <x:v>1000</x:v>
      </x:c>
      <x:c r="E101" s="16" t="str">
        <x:v>sourced</x:v>
      </x:c>
      <x:c r="F101" s="22" t="str">
        <x:v>After-tax Net Profit (Loss)</x:v>
      </x:c>
      <x:c r="G101" s="22" t="str">
        <x:v>/Users/yuntzuyu/Downloads/e-loan/Quarter/E-Loan YQYQ-Nexstar Q1.xls#Report1!I117; label=A117; dates=I6,I76; unit=O4</x:v>
      </x:c>
    </x:row>
    <x:row r="102">
      <x:c r="A102" s="16" t="str">
        <x:v>Quarter_Q1/net_income/prior_interim</x:v>
      </x:c>
      <x:c r="B102" s="19" t="n">
        <x:f>IF(AND(ISNUMBER(B101),ISNUMBER(B69)),IF(B69=0,"無法計算",B101/B69),"缺少資料")</x:f>
        <x:v>0.07860615883306321</x:v>
      </x:c>
      <x:c r="C102" s="16"/>
      <x:c r="D102" s="16"/>
      <x:c r="E102" s="16" t="str">
        <x:v>calculated</x:v>
      </x:c>
      <x:c r="F102" s="22" t="str">
        <x:v>net_income / revenue</x:v>
      </x:c>
      <x:c r="G102" s="22" t="str"/>
    </x:row>
    <x:row r="103">
      <x:c r="A103" s="16" t="str">
        <x:v>Quarter_Q1/net_income/current_interim</x:v>
      </x:c>
      <x:c r="B103" s="18" t="n">
        <x:f>IF(AND(ISNUMBER(C103),ISNUMBER(D103)),C103*D103/1000000,"缺少資料")</x:f>
        <x:v>160</x:v>
      </x:c>
      <x:c r="C103" s="16" t="n">
        <x:v>160000</x:v>
      </x:c>
      <x:c r="D103" s="16" t="n">
        <x:v>1000</x:v>
      </x:c>
      <x:c r="E103" s="16" t="str">
        <x:v>sourced</x:v>
      </x:c>
      <x:c r="F103" s="22" t="str">
        <x:v>After-tax Net Profit (Loss)</x:v>
      </x:c>
      <x:c r="G103" s="22" t="str">
        <x:v>/Users/yuntzuyu/Downloads/e-loan/Quarter/E-Loan YQYQ-Nexstar Q1.xls#Report1!R117; label=A117; dates=R6,R76; unit=O4</x:v>
      </x:c>
    </x:row>
    <x:row r="104">
      <x:c r="A104" s="16" t="str">
        <x:v>Quarter_Q1/net_income/current_interim</x:v>
      </x:c>
      <x:c r="B104" s="19" t="n">
        <x:f>IF(AND(ISNUMBER(B103),ISNUMBER(B71)),IF(B71=0,"無法計算",B103/B71),"缺少資料")</x:f>
        <x:v>0.11461318051575932</x:v>
      </x:c>
      <x:c r="C104" s="16"/>
      <x:c r="D104" s="16"/>
      <x:c r="E104" s="16" t="str">
        <x:v>calculated</x:v>
      </x:c>
      <x:c r="F104" s="22" t="str">
        <x:v>net_income / revenue</x:v>
      </x:c>
      <x:c r="G104" s="22" t="str"/>
    </x:row>
    <x:row r="105">
      <x:c r="A105" s="16" t="str">
        <x:v>Quarter_Q1/current_ratio/earlier_fy_end</x:v>
      </x:c>
      <x:c r="B105" s="19" t="n">
        <x:f>IF(AND(ISNUMBER(B133),ISNUMBER(B134)),IF(B134=0,"無法計算",B133/B134),"缺少資料")</x:f>
        <x:v>1.656449553001277</x:v>
      </x:c>
      <x:c r="C105" s="16"/>
      <x:c r="D105" s="16"/>
      <x:c r="E105" s="16" t="str">
        <x:v>calculated</x:v>
      </x:c>
      <x:c r="F105" s="22" t="str">
        <x:v>Current Assets / Current Liabilities</x:v>
      </x:c>
      <x:c r="G105" s="22" t="str"/>
    </x:row>
    <x:row r="106">
      <x:c r="A106" s="16" t="str">
        <x:v>Quarter_Q1/current_ratio/prior_interim</x:v>
      </x:c>
      <x:c r="B106" s="19" t="n">
        <x:f>IF(AND(ISNUMBER(B140),ISNUMBER(B141)),IF(B141=0,"無法計算",B140/B141),"缺少資料")</x:f>
        <x:v>1.7416149068322981</x:v>
      </x:c>
      <x:c r="C106" s="16"/>
      <x:c r="D106" s="16"/>
      <x:c r="E106" s="16" t="str">
        <x:v>calculated</x:v>
      </x:c>
      <x:c r="F106" s="22" t="str">
        <x:v>Current Assets / Current Liabilities</x:v>
      </x:c>
      <x:c r="G106" s="22" t="str"/>
    </x:row>
    <x:row r="107">
      <x:c r="A107" s="16" t="str">
        <x:v>Quarter_Q1/current_ratio/latest_fy_end</x:v>
      </x:c>
      <x:c r="B107" s="19" t="n">
        <x:f>IF(AND(ISNUMBER(B147),ISNUMBER(B148)),IF(B148=0,"無法計算",B147/B148),"缺少資料")</x:f>
        <x:v>2.071729957805907</x:v>
      </x:c>
      <x:c r="C107" s="16"/>
      <x:c r="D107" s="16"/>
      <x:c r="E107" s="16" t="str">
        <x:v>calculated</x:v>
      </x:c>
      <x:c r="F107" s="22" t="str">
        <x:v>Current Assets / Current Liabilities</x:v>
      </x:c>
      <x:c r="G107" s="22" t="str"/>
    </x:row>
    <x:row r="108">
      <x:c r="A108" s="16" t="str">
        <x:v>Quarter_Q1/current_ratio/current_interim</x:v>
      </x:c>
      <x:c r="B108" s="19" t="n">
        <x:f>IF(AND(ISNUMBER(B154),ISNUMBER(B155)),IF(B155=0,"無法計算",B154/B155),"缺少資料")</x:f>
        <x:v>1.7567359507313318</x:v>
      </x:c>
      <x:c r="C108" s="16"/>
      <x:c r="D108" s="16"/>
      <x:c r="E108" s="16" t="str">
        <x:v>calculated</x:v>
      </x:c>
      <x:c r="F108" s="22" t="str">
        <x:v>Current Assets / Current Liabilities</x:v>
      </x:c>
      <x:c r="G108" s="22" t="str"/>
    </x:row>
    <x:row r="109">
      <x:c r="A109" s="16" t="str">
        <x:v>Quarter_Q1/quick_ratio/earlier_fy_end</x:v>
      </x:c>
      <x:c r="B109" s="19" t="str">
        <x:v>無法計算／待確認</x:v>
      </x:c>
      <x:c r="C109" s="16"/>
      <x:c r="D109" s="16"/>
      <x:c r="E109" s="16" t="str">
        <x:v>無法計算／待確認</x:v>
      </x:c>
      <x:c r="F109" s="22" t="str">
        <x:v>Required inputs unavailable</x:v>
      </x:c>
      <x:c r="G109" s="22" t="str"/>
    </x:row>
    <x:row r="110">
      <x:c r="A110" s="16" t="str">
        <x:v>Quarter_Q1/quick_ratio/prior_interim</x:v>
      </x:c>
      <x:c r="B110" s="19" t="str">
        <x:v>無法計算／待確認</x:v>
      </x:c>
      <x:c r="C110" s="16"/>
      <x:c r="D110" s="16"/>
      <x:c r="E110" s="16" t="str">
        <x:v>無法計算／待確認</x:v>
      </x:c>
      <x:c r="F110" s="22" t="str">
        <x:v>Required inputs unavailable</x:v>
      </x:c>
      <x:c r="G110" s="22" t="str"/>
    </x:row>
    <x:row r="111">
      <x:c r="A111" s="16" t="str">
        <x:v>Quarter_Q1/quick_ratio/latest_fy_end</x:v>
      </x:c>
      <x:c r="B111" s="19" t="str">
        <x:v>無法計算／待確認</x:v>
      </x:c>
      <x:c r="C111" s="16"/>
      <x:c r="D111" s="16"/>
      <x:c r="E111" s="16" t="str">
        <x:v>無法計算／待確認</x:v>
      </x:c>
      <x:c r="F111" s="22" t="str">
        <x:v>Required inputs unavailable</x:v>
      </x:c>
      <x:c r="G111" s="22" t="str"/>
    </x:row>
    <x:row r="112">
      <x:c r="A112" s="16" t="str">
        <x:v>Quarter_Q1/quick_ratio/current_interim</x:v>
      </x:c>
      <x:c r="B112" s="19" t="str">
        <x:v>無法計算／待確認</x:v>
      </x:c>
      <x:c r="C112" s="16"/>
      <x:c r="D112" s="16"/>
      <x:c r="E112" s="16" t="str">
        <x:v>無法計算／待確認</x:v>
      </x:c>
      <x:c r="F112" s="22" t="str">
        <x:v>Required inputs unavailable</x:v>
      </x:c>
      <x:c r="G112" s="22" t="str"/>
    </x:row>
    <x:row r="113">
      <x:c r="A113" s="16" t="str">
        <x:v>Quarter_Q1/debt_ratio/earlier_fy_end</x:v>
      </x:c>
      <x:c r="B113" s="19" t="str">
        <x:v>無法計算／待確認</x:v>
      </x:c>
      <x:c r="C113" s="16"/>
      <x:c r="D113" s="16"/>
      <x:c r="E113" s="16" t="str">
        <x:v>無法計算／待確認</x:v>
      </x:c>
      <x:c r="F113" s="22" t="str">
        <x:v>Required inputs unavailable</x:v>
      </x:c>
      <x:c r="G113" s="22" t="str"/>
    </x:row>
    <x:row r="114">
      <x:c r="A114" s="16" t="str">
        <x:v>Quarter_Q1/debt_ratio/prior_interim</x:v>
      </x:c>
      <x:c r="B114" s="19" t="str">
        <x:v>無法計算／待確認</x:v>
      </x:c>
      <x:c r="C114" s="16"/>
      <x:c r="D114" s="16"/>
      <x:c r="E114" s="16" t="str">
        <x:v>無法計算／待確認</x:v>
      </x:c>
      <x:c r="F114" s="22" t="str">
        <x:v>Required inputs unavailable</x:v>
      </x:c>
      <x:c r="G114" s="22" t="str"/>
    </x:row>
    <x:row r="115">
      <x:c r="A115" s="16" t="str">
        <x:v>Quarter_Q1/debt_ratio/latest_fy_end</x:v>
      </x:c>
      <x:c r="B115" s="19" t="str">
        <x:v>無法計算／待確認</x:v>
      </x:c>
      <x:c r="C115" s="16"/>
      <x:c r="D115" s="16"/>
      <x:c r="E115" s="16" t="str">
        <x:v>無法計算／待確認</x:v>
      </x:c>
      <x:c r="F115" s="22" t="str">
        <x:v>Required inputs unavailable</x:v>
      </x:c>
      <x:c r="G115" s="22" t="str"/>
    </x:row>
    <x:row r="116">
      <x:c r="A116" s="16" t="str">
        <x:v>Quarter_Q1/debt_ratio/current_interim</x:v>
      </x:c>
      <x:c r="B116" s="19" t="str">
        <x:v>無法計算／待確認</x:v>
      </x:c>
      <x:c r="C116" s="16"/>
      <x:c r="D116" s="16"/>
      <x:c r="E116" s="16" t="str">
        <x:v>無法計算／待確認</x:v>
      </x:c>
      <x:c r="F116" s="22" t="str">
        <x:v>Required inputs unavailable</x:v>
      </x:c>
      <x:c r="G116" s="22" t="str"/>
    </x:row>
    <x:row r="117">
      <x:c r="A117" s="16" t="str">
        <x:v>Quarter_Q1/total_debt/earlier_fy_end</x:v>
      </x:c>
      <x:c r="B117" s="18" t="str">
        <x:v>缺少資料</x:v>
      </x:c>
      <x:c r="C117" s="16"/>
      <x:c r="D117" s="16"/>
      <x:c r="E117" s="16" t="str">
        <x:v>缺少資料</x:v>
      </x:c>
      <x:c r="F117" s="22" t="str">
        <x:v>既有底稿未提供可核實的來源科目／組成；不等於SEC未揭露</x:v>
      </x:c>
      <x:c r="G117" s="22" t="str"/>
    </x:row>
    <x:row r="118">
      <x:c r="A118" s="16" t="str">
        <x:v>Quarter_Q1/total_debt/prior_interim</x:v>
      </x:c>
      <x:c r="B118" s="18" t="str">
        <x:v>缺少資料</x:v>
      </x:c>
      <x:c r="C118" s="16"/>
      <x:c r="D118" s="16"/>
      <x:c r="E118" s="16" t="str">
        <x:v>缺少資料</x:v>
      </x:c>
      <x:c r="F118" s="22" t="str">
        <x:v>既有底稿未提供可核實的來源科目／組成；不等於SEC未揭露</x:v>
      </x:c>
      <x:c r="G118" s="22" t="str"/>
    </x:row>
    <x:row r="119">
      <x:c r="A119" s="16" t="str">
        <x:v>Quarter_Q1/total_debt/latest_fy_end</x:v>
      </x:c>
      <x:c r="B119" s="18" t="str">
        <x:v>缺少資料</x:v>
      </x:c>
      <x:c r="C119" s="16"/>
      <x:c r="D119" s="16"/>
      <x:c r="E119" s="16" t="str">
        <x:v>缺少資料</x:v>
      </x:c>
      <x:c r="F119" s="22" t="str">
        <x:v>既有底稿未提供可核實的來源科目／組成；不等於SEC未揭露</x:v>
      </x:c>
      <x:c r="G119" s="22" t="str"/>
    </x:row>
    <x:row r="120">
      <x:c r="A120" s="16" t="str">
        <x:v>Quarter_Q1/total_debt/current_interim</x:v>
      </x:c>
      <x:c r="B120" s="18" t="str">
        <x:v>缺少資料</x:v>
      </x:c>
      <x:c r="C120" s="16"/>
      <x:c r="D120" s="16"/>
      <x:c r="E120" s="16" t="str">
        <x:v>缺少資料</x:v>
      </x:c>
      <x:c r="F120" s="22" t="str">
        <x:v>既有底稿未提供可核實的來源科目／組成；不等於SEC未揭露</x:v>
      </x:c>
      <x:c r="G120" s="22" t="str"/>
    </x:row>
    <x:row r="121">
      <x:c r="A121" s="16" t="str">
        <x:v>Quarter_Q1/ltm_ebitda/earlier_fy_end</x:v>
      </x:c>
      <x:c r="B121" s="18" t="str">
        <x:v>無法計算／待確認</x:v>
      </x:c>
      <x:c r="C121" s="16"/>
      <x:c r="D121" s="16"/>
      <x:c r="E121" s="16" t="str">
        <x:v>無法計算／待確認</x:v>
      </x:c>
      <x:c r="F121" s="22" t="str">
        <x:v>Verified Standard EBITDA basis required</x:v>
      </x:c>
      <x:c r="G121" s="22" t="str"/>
    </x:row>
    <x:row r="122">
      <x:c r="A122" s="16" t="str">
        <x:v>Quarter_Q1/ltm_ebitda/prior_interim</x:v>
      </x:c>
      <x:c r="B122" s="18" t="str">
        <x:v>無法計算／待確認</x:v>
      </x:c>
      <x:c r="C122" s="16"/>
      <x:c r="D122" s="16"/>
      <x:c r="E122" s="16" t="str">
        <x:v>無法計算／待確認</x:v>
      </x:c>
      <x:c r="F122" s="22" t="str">
        <x:v>Verified Standard EBITDA basis required</x:v>
      </x:c>
      <x:c r="G122" s="22" t="str"/>
    </x:row>
    <x:row r="123">
      <x:c r="A123" s="16" t="str">
        <x:v>Quarter_Q1/ltm_ebitda/latest_fy_end</x:v>
      </x:c>
      <x:c r="B123" s="18" t="str">
        <x:v>無法計算／待確認</x:v>
      </x:c>
      <x:c r="C123" s="16"/>
      <x:c r="D123" s="16"/>
      <x:c r="E123" s="16" t="str">
        <x:v>無法計算／待確認</x:v>
      </x:c>
      <x:c r="F123" s="22" t="str">
        <x:v>Verified Standard EBITDA basis required</x:v>
      </x:c>
      <x:c r="G123" s="22" t="str"/>
    </x:row>
    <x:row r="124">
      <x:c r="A124" s="16" t="str">
        <x:v>Quarter_Q1/ltm_ebitda/current_interim</x:v>
      </x:c>
      <x:c r="B124" s="18" t="str">
        <x:v>無法計算／待確認</x:v>
      </x:c>
      <x:c r="C124" s="16"/>
      <x:c r="D124" s="16"/>
      <x:c r="E124" s="16" t="str">
        <x:v>無法計算／待確認</x:v>
      </x:c>
      <x:c r="F124" s="22" t="str">
        <x:v>Verified Standard EBITDA basis required</x:v>
      </x:c>
      <x:c r="G124" s="22" t="str"/>
    </x:row>
    <x:row r="125">
      <x:c r="A125" s="16" t="str">
        <x:v>Quarter_Q1/ebitda_basis/earlier_fy_end</x:v>
      </x:c>
      <x:c r="B125" s="18" t="str">
        <x:v>缺少資料</x:v>
      </x:c>
      <x:c r="C125" s="16"/>
      <x:c r="D125" s="16"/>
      <x:c r="E125" s="16" t="str">
        <x:v>缺少資料</x:v>
      </x:c>
      <x:c r="F125" s="22" t="str">
        <x:v>既有底稿未提供可核實的來源科目／組成；不等於SEC未揭露</x:v>
      </x:c>
      <x:c r="G125" s="22" t="str"/>
    </x:row>
    <x:row r="126">
      <x:c r="A126" s="16" t="str">
        <x:v>Quarter_Q1/ebitda_basis/prior_interim</x:v>
      </x:c>
      <x:c r="B126" s="18" t="str">
        <x:v>缺少資料</x:v>
      </x:c>
      <x:c r="C126" s="16"/>
      <x:c r="D126" s="16"/>
      <x:c r="E126" s="16" t="str">
        <x:v>缺少資料</x:v>
      </x:c>
      <x:c r="F126" s="22" t="str">
        <x:v>既有底稿未提供可核實的來源科目／組成；不等於SEC未揭露</x:v>
      </x:c>
      <x:c r="G126" s="22" t="str"/>
    </x:row>
    <x:row r="127">
      <x:c r="A127" s="16" t="str">
        <x:v>Quarter_Q1/ebitda_basis/latest_fy_end</x:v>
      </x:c>
      <x:c r="B127" s="18" t="str">
        <x:v>缺少資料</x:v>
      </x:c>
      <x:c r="C127" s="16"/>
      <x:c r="D127" s="16"/>
      <x:c r="E127" s="16" t="str">
        <x:v>缺少資料</x:v>
      </x:c>
      <x:c r="F127" s="22" t="str">
        <x:v>既有底稿未提供可核實的來源科目／組成；不等於SEC未揭露</x:v>
      </x:c>
      <x:c r="G127" s="22" t="str"/>
    </x:row>
    <x:row r="128">
      <x:c r="A128" s="16" t="str">
        <x:v>Quarter_Q1/ebitda_basis/current_interim</x:v>
      </x:c>
      <x:c r="B128" s="18" t="str">
        <x:v>缺少資料</x:v>
      </x:c>
      <x:c r="C128" s="16"/>
      <x:c r="D128" s="16"/>
      <x:c r="E128" s="16" t="str">
        <x:v>缺少資料</x:v>
      </x:c>
      <x:c r="F128" s="22" t="str">
        <x:v>既有底稿未提供可核實的來源科目／組成；不等於SEC未揭露</x:v>
      </x:c>
      <x:c r="G128" s="22" t="str"/>
    </x:row>
    <x:row r="129">
      <x:c r="A129" s="16" t="str">
        <x:v>Quarter_Q1/total_leverage/earlier_fy_end</x:v>
      </x:c>
      <x:c r="B129" s="20" t="str">
        <x:v>無法計算／待確認</x:v>
      </x:c>
      <x:c r="C129" s="16"/>
      <x:c r="D129" s="16"/>
      <x:c r="E129" s="16" t="str">
        <x:v>無法計算／待確認</x:v>
      </x:c>
      <x:c r="F129" s="22" t="str">
        <x:v>Required inputs unavailable</x:v>
      </x:c>
      <x:c r="G129" s="22" t="str"/>
    </x:row>
    <x:row r="130">
      <x:c r="A130" s="16" t="str">
        <x:v>Quarter_Q1/total_leverage/prior_interim</x:v>
      </x:c>
      <x:c r="B130" s="20" t="str">
        <x:v>無法計算／待確認</x:v>
      </x:c>
      <x:c r="C130" s="16"/>
      <x:c r="D130" s="16"/>
      <x:c r="E130" s="16" t="str">
        <x:v>無法計算／待確認</x:v>
      </x:c>
      <x:c r="F130" s="22" t="str">
        <x:v>Required inputs unavailable</x:v>
      </x:c>
      <x:c r="G130" s="22" t="str"/>
    </x:row>
    <x:row r="131">
      <x:c r="A131" s="16" t="str">
        <x:v>Quarter_Q1/total_leverage/latest_fy_end</x:v>
      </x:c>
      <x:c r="B131" s="20" t="str">
        <x:v>無法計算／待確認</x:v>
      </x:c>
      <x:c r="C131" s="16"/>
      <x:c r="D131" s="16"/>
      <x:c r="E131" s="16" t="str">
        <x:v>無法計算／待確認</x:v>
      </x:c>
      <x:c r="F131" s="22" t="str">
        <x:v>Required inputs unavailable</x:v>
      </x:c>
      <x:c r="G131" s="22" t="str"/>
    </x:row>
    <x:row r="132">
      <x:c r="A132" s="16" t="str">
        <x:v>Quarter_Q1/total_leverage/current_interim</x:v>
      </x:c>
      <x:c r="B132" s="20" t="str">
        <x:v>無法計算／待確認</x:v>
      </x:c>
      <x:c r="C132" s="16"/>
      <x:c r="D132" s="16"/>
      <x:c r="E132" s="16" t="str">
        <x:v>無法計算／待確認</x:v>
      </x:c>
      <x:c r="F132" s="22" t="str">
        <x:v>Required inputs unavailable</x:v>
      </x:c>
      <x:c r="G132" s="22" t="str"/>
    </x:row>
    <x:row r="133">
      <x:c r="A133" s="16" t="str">
        <x:v>Quarter_Q1/current_assets/earlier_fy_end</x:v>
      </x:c>
      <x:c r="B133" s="18" t="n">
        <x:f>IF(AND(ISNUMBER(C133),ISNUMBER(D133)),C133*D133/1000000,"缺少資料")</x:f>
        <x:v>1297</x:v>
      </x:c>
      <x:c r="C133" s="16" t="n">
        <x:v>1297000</x:v>
      </x:c>
      <x:c r="D133" s="16" t="n">
        <x:v>1000</x:v>
      </x:c>
      <x:c r="E133" s="16" t="str">
        <x:v>sourced</x:v>
      </x:c>
      <x:c r="F133" s="22" t="str">
        <x:v>Current Assets</x:v>
      </x:c>
      <x:c r="G133" s="22" t="str">
        <x:v>/Users/yuntzuyu/Downloads/e-loan/Quarter/E-Loan YQYQ-Nexstar Q1.xls#Report1!D10; label=A10; dates=D6,D76; unit=O4</x:v>
      </x:c>
    </x:row>
    <x:row r="134">
      <x:c r="A134" s="16" t="str">
        <x:v>Quarter_Q1/current_liabilities/earlier_fy_end</x:v>
      </x:c>
      <x:c r="B134" s="18" t="n">
        <x:f>IF(AND(ISNUMBER(C134),ISNUMBER(D134)),C134*D134/1000000,"缺少資料")</x:f>
        <x:v>783</x:v>
      </x:c>
      <x:c r="C134" s="16" t="n">
        <x:v>783000</x:v>
      </x:c>
      <x:c r="D134" s="16" t="n">
        <x:v>1000</x:v>
      </x:c>
      <x:c r="E134" s="16" t="str">
        <x:v>sourced</x:v>
      </x:c>
      <x:c r="F134" s="22" t="str">
        <x:v>Current Liabilities</x:v>
      </x:c>
      <x:c r="G134" s="22" t="str">
        <x:v>/Users/yuntzuyu/Downloads/e-loan/Quarter/E-Loan YQYQ-Nexstar Q1.xls#Report1!D40; label=A40; dates=D6,D76; unit=O4</x:v>
      </x:c>
    </x:row>
    <x:row r="135">
      <x:c r="A135" s="16" t="str">
        <x:v>Quarter_Q1/total_liabilities/earlier_fy_end</x:v>
      </x:c>
      <x:c r="B135" s="18" t="n">
        <x:f>IF(AND(ISNUMBER(C135),ISNUMBER(D135)),C135*D135/1000000,"缺少資料")</x:f>
        <x:v>9200</x:v>
      </x:c>
      <x:c r="C135" s="16" t="n">
        <x:v>9200000</x:v>
      </x:c>
      <x:c r="D135" s="16" t="n">
        <x:v>1000</x:v>
      </x:c>
      <x:c r="E135" s="16" t="str">
        <x:v>sourced</x:v>
      </x:c>
      <x:c r="F135" s="22" t="str">
        <x:v>Total Liabilities</x:v>
      </x:c>
      <x:c r="G135" s="22" t="str">
        <x:v>/Users/yuntzuyu/Downloads/e-loan/Quarter/E-Loan YQYQ-Nexstar Q1.xls#Report1!D62; label=A62; dates=D6,D76; unit=O4</x:v>
      </x:c>
    </x:row>
    <x:row r="136">
      <x:c r="A136" s="16" t="str">
        <x:v>Quarter_Q1/quick_assets/earlier_fy_end</x:v>
      </x:c>
      <x:c r="B136" s="18" t="str">
        <x:v>缺少資料</x:v>
      </x:c>
      <x:c r="C136" s="16"/>
      <x:c r="D136" s="16"/>
      <x:c r="E136" s="16" t="str">
        <x:v>缺少資料</x:v>
      </x:c>
      <x:c r="F136" s="22" t="str">
        <x:v>既有底稿未提供可核實的來源科目／組成；不等於SEC未揭露</x:v>
      </x:c>
      <x:c r="G136" s="22" t="str"/>
    </x:row>
    <x:row r="137">
      <x:c r="A137" s="16" t="str">
        <x:v>Quarter_Q1/net_worth/earlier_fy_end</x:v>
      </x:c>
      <x:c r="B137" s="18" t="str">
        <x:v>無法計算／待確認</x:v>
      </x:c>
      <x:c r="C137" s="16"/>
      <x:c r="D137" s="16"/>
      <x:c r="E137" s="16" t="str">
        <x:v>無法計算／待確認</x:v>
      </x:c>
      <x:c r="F137" s="22" t="str">
        <x:v>Approved policy; company-specific source definition not yet verified; candidate retained</x:v>
      </x:c>
      <x:c r="G137" s="22" t="str">
        <x:v>/Users/yuntzuyu/Downloads/e-loan/Quarter/E-Loan YQYQ-Nexstar Q1.xls#Report1!D70; label=A70; dates=D6,D76; unit=O4</x:v>
      </x:c>
    </x:row>
    <x:row r="138">
      <x:c r="A138" s="16" t="str">
        <x:v>Quarter_Q1/capitalized_interest/earlier_fy_end</x:v>
      </x:c>
      <x:c r="B138" s="18" t="str">
        <x:v>缺少資料</x:v>
      </x:c>
      <x:c r="C138" s="16"/>
      <x:c r="D138" s="16"/>
      <x:c r="E138" s="16" t="str">
        <x:v>缺少資料</x:v>
      </x:c>
      <x:c r="F138" s="22" t="str">
        <x:v>原始儲存格空白／無可用數值</x:v>
      </x:c>
      <x:c r="G138" s="22" t="str">
        <x:v>/Users/yuntzuyu/Downloads/e-loan/Quarter/E-Loan YQYQ-Nexstar Q1.xls#Report1!D120; label=A120; dates=D6,D76; unit=O4</x:v>
      </x:c>
    </x:row>
    <x:row r="139">
      <x:c r="A139" s="16" t="str">
        <x:v>Quarter_Q1/da/earlier_fy_end</x:v>
      </x:c>
      <x:c r="B139" s="18" t="n">
        <x:f>IF(AND(ISNUMBER(C139),ISNUMBER(D139)),C139*D139/1000000,"缺少資料")</x:f>
        <x:v>808</x:v>
      </x:c>
      <x:c r="C139" s="16" t="n">
        <x:v>808000</x:v>
      </x:c>
      <x:c r="D139" s="16" t="n">
        <x:v>1000</x:v>
      </x:c>
      <x:c r="E139" s="16" t="str">
        <x:v>sourced</x:v>
      </x:c>
      <x:c r="F139" s="22" t="str">
        <x:v>Depreciation &amp; Amortization</x:v>
      </x:c>
      <x:c r="G139" s="22" t="str">
        <x:v>/Users/yuntzuyu/Downloads/e-loan/Quarter/E-Loan YQYQ-Nexstar Q1.xls#Report1!D121; label=A121; dates=D6,D76; unit=O4</x:v>
      </x:c>
    </x:row>
    <x:row r="140">
      <x:c r="A140" s="16" t="str">
        <x:v>Quarter_Q1/current_assets/prior_interim</x:v>
      </x:c>
      <x:c r="B140" s="18" t="n">
        <x:f>IF(AND(ISNUMBER(C140),ISNUMBER(D140)),C140*D140/1000000,"缺少資料")</x:f>
        <x:v>1402</x:v>
      </x:c>
      <x:c r="C140" s="16" t="n">
        <x:v>1402000</x:v>
      </x:c>
      <x:c r="D140" s="16" t="n">
        <x:v>1000</x:v>
      </x:c>
      <x:c r="E140" s="16" t="str">
        <x:v>sourced</x:v>
      </x:c>
      <x:c r="F140" s="22" t="str">
        <x:v>Current Assets</x:v>
      </x:c>
      <x:c r="G140" s="22" t="str">
        <x:v>/Users/yuntzuyu/Downloads/e-loan/Quarter/E-Loan YQYQ-Nexstar Q1.xls#Report1!I10; label=A10; dates=I6,I76; unit=O4</x:v>
      </x:c>
    </x:row>
    <x:row r="141">
      <x:c r="A141" s="16" t="str">
        <x:v>Quarter_Q1/current_liabilities/prior_interim</x:v>
      </x:c>
      <x:c r="B141" s="18" t="n">
        <x:f>IF(AND(ISNUMBER(C141),ISNUMBER(D141)),C141*D141/1000000,"缺少資料")</x:f>
        <x:v>805</x:v>
      </x:c>
      <x:c r="C141" s="16" t="n">
        <x:v>805000</x:v>
      </x:c>
      <x:c r="D141" s="16" t="n">
        <x:v>1000</x:v>
      </x:c>
      <x:c r="E141" s="16" t="str">
        <x:v>sourced</x:v>
      </x:c>
      <x:c r="F141" s="22" t="str">
        <x:v>Current Liabilities</x:v>
      </x:c>
      <x:c r="G141" s="22" t="str">
        <x:v>/Users/yuntzuyu/Downloads/e-loan/Quarter/E-Loan YQYQ-Nexstar Q1.xls#Report1!I40; label=A40; dates=I6,I76; unit=O4</x:v>
      </x:c>
    </x:row>
    <x:row r="142">
      <x:c r="A142" s="16" t="str">
        <x:v>Quarter_Q1/total_liabilities/prior_interim</x:v>
      </x:c>
      <x:c r="B142" s="18" t="n">
        <x:f>IF(AND(ISNUMBER(C142),ISNUMBER(D142)),C142*D142/1000000,"缺少資料")</x:f>
        <x:v>9164</x:v>
      </x:c>
      <x:c r="C142" s="16" t="n">
        <x:v>9164000</x:v>
      </x:c>
      <x:c r="D142" s="16" t="n">
        <x:v>1000</x:v>
      </x:c>
      <x:c r="E142" s="16" t="str">
        <x:v>sourced</x:v>
      </x:c>
      <x:c r="F142" s="22" t="str">
        <x:v>Total Liabilities</x:v>
      </x:c>
      <x:c r="G142" s="22" t="str">
        <x:v>/Users/yuntzuyu/Downloads/e-loan/Quarter/E-Loan YQYQ-Nexstar Q1.xls#Report1!I62; label=A62; dates=I6,I76; unit=O4</x:v>
      </x:c>
    </x:row>
    <x:row r="143">
      <x:c r="A143" s="16" t="str">
        <x:v>Quarter_Q1/quick_assets/prior_interim</x:v>
      </x:c>
      <x:c r="B143" s="18" t="str">
        <x:v>缺少資料</x:v>
      </x:c>
      <x:c r="C143" s="16"/>
      <x:c r="D143" s="16"/>
      <x:c r="E143" s="16" t="str">
        <x:v>缺少資料</x:v>
      </x:c>
      <x:c r="F143" s="22" t="str">
        <x:v>既有底稿未提供可核實的來源科目／組成；不等於SEC未揭露</x:v>
      </x:c>
      <x:c r="G143" s="22" t="str"/>
    </x:row>
    <x:row r="144">
      <x:c r="A144" s="16" t="str">
        <x:v>Quarter_Q1/net_worth/prior_interim</x:v>
      </x:c>
      <x:c r="B144" s="18" t="str">
        <x:v>無法計算／待確認</x:v>
      </x:c>
      <x:c r="C144" s="16"/>
      <x:c r="D144" s="16"/>
      <x:c r="E144" s="16" t="str">
        <x:v>無法計算／待確認</x:v>
      </x:c>
      <x:c r="F144" s="22" t="str">
        <x:v>Approved policy; company-specific source definition not yet verified; candidate retained</x:v>
      </x:c>
      <x:c r="G144" s="22" t="str">
        <x:v>/Users/yuntzuyu/Downloads/e-loan/Quarter/E-Loan YQYQ-Nexstar Q1.xls#Report1!I70; label=A70; dates=I6,I76; unit=O4</x:v>
      </x:c>
    </x:row>
    <x:row r="145">
      <x:c r="A145" s="16" t="str">
        <x:v>Quarter_Q1/capitalized_interest/prior_interim</x:v>
      </x:c>
      <x:c r="B145" s="18" t="str">
        <x:v>缺少資料</x:v>
      </x:c>
      <x:c r="C145" s="16"/>
      <x:c r="D145" s="16"/>
      <x:c r="E145" s="16" t="str">
        <x:v>缺少資料</x:v>
      </x:c>
      <x:c r="F145" s="22" t="str">
        <x:v>原始儲存格空白／無可用數值</x:v>
      </x:c>
      <x:c r="G145" s="22" t="str">
        <x:v>/Users/yuntzuyu/Downloads/e-loan/Quarter/E-Loan YQYQ-Nexstar Q1.xls#Report1!I120; label=A120; dates=I6,I76; unit=O4</x:v>
      </x:c>
    </x:row>
    <x:row r="146">
      <x:c r="A146" s="16" t="str">
        <x:v>Quarter_Q1/da/prior_interim</x:v>
      </x:c>
      <x:c r="B146" s="18" t="n">
        <x:f>IF(AND(ISNUMBER(C146),ISNUMBER(D146)),C146*D146/1000000,"缺少資料")</x:f>
        <x:v>205</x:v>
      </x:c>
      <x:c r="C146" s="16" t="n">
        <x:v>205000</x:v>
      </x:c>
      <x:c r="D146" s="16" t="n">
        <x:v>1000</x:v>
      </x:c>
      <x:c r="E146" s="16" t="str">
        <x:v>sourced</x:v>
      </x:c>
      <x:c r="F146" s="22" t="str">
        <x:v>Depreciation &amp; Amortization</x:v>
      </x:c>
      <x:c r="G146" s="22" t="str">
        <x:v>/Users/yuntzuyu/Downloads/e-loan/Quarter/E-Loan YQYQ-Nexstar Q1.xls#Report1!I121; label=A121; dates=I6,I76; unit=O4</x:v>
      </x:c>
    </x:row>
    <x:row r="147">
      <x:c r="A147" s="16" t="str">
        <x:v>Quarter_Q1/current_assets/latest_fy_end</x:v>
      </x:c>
      <x:c r="B147" s="18" t="n">
        <x:f>IF(AND(ISNUMBER(C147),ISNUMBER(D147)),C147*D147/1000000,"缺少資料")</x:f>
        <x:v>1473</x:v>
      </x:c>
      <x:c r="C147" s="16" t="n">
        <x:v>1473000</x:v>
      </x:c>
      <x:c r="D147" s="16" t="n">
        <x:v>1000</x:v>
      </x:c>
      <x:c r="E147" s="16" t="str">
        <x:v>sourced</x:v>
      </x:c>
      <x:c r="F147" s="22" t="str">
        <x:v>Current Assets</x:v>
      </x:c>
      <x:c r="G147" s="22" t="str">
        <x:v>/Users/yuntzuyu/Downloads/e-loan/Quarter/E-Loan YQYQ-Nexstar Q1.xls#Report1!M10; label=A10; dates=M6,M76; unit=O4</x:v>
      </x:c>
    </x:row>
    <x:row r="148">
      <x:c r="A148" s="16" t="str">
        <x:v>Quarter_Q1/current_liabilities/latest_fy_end</x:v>
      </x:c>
      <x:c r="B148" s="18" t="n">
        <x:f>IF(AND(ISNUMBER(C148),ISNUMBER(D148)),C148*D148/1000000,"缺少資料")</x:f>
        <x:v>711</x:v>
      </x:c>
      <x:c r="C148" s="16" t="n">
        <x:v>711000</x:v>
      </x:c>
      <x:c r="D148" s="16" t="n">
        <x:v>1000</x:v>
      </x:c>
      <x:c r="E148" s="16" t="str">
        <x:v>sourced</x:v>
      </x:c>
      <x:c r="F148" s="22" t="str">
        <x:v>Current Liabilities</x:v>
      </x:c>
      <x:c r="G148" s="22" t="str">
        <x:v>/Users/yuntzuyu/Downloads/e-loan/Quarter/E-Loan YQYQ-Nexstar Q1.xls#Report1!M40; label=A40; dates=M6,M76; unit=O4</x:v>
      </x:c>
    </x:row>
    <x:row r="149">
      <x:c r="A149" s="16" t="str">
        <x:v>Quarter_Q1/total_liabilities/latest_fy_end</x:v>
      </x:c>
      <x:c r="B149" s="18" t="n">
        <x:f>IF(AND(ISNUMBER(C149),ISNUMBER(D149)),C149*D149/1000000,"缺少資料")</x:f>
        <x:v>8784</x:v>
      </x:c>
      <x:c r="C149" s="16" t="n">
        <x:v>8784000</x:v>
      </x:c>
      <x:c r="D149" s="16" t="n">
        <x:v>1000</x:v>
      </x:c>
      <x:c r="E149" s="16" t="str">
        <x:v>sourced</x:v>
      </x:c>
      <x:c r="F149" s="22" t="str">
        <x:v>Total Liabilities</x:v>
      </x:c>
      <x:c r="G149" s="22" t="str">
        <x:v>/Users/yuntzuyu/Downloads/e-loan/Quarter/E-Loan YQYQ-Nexstar Q1.xls#Report1!M62; label=A62; dates=M6,M76; unit=O4</x:v>
      </x:c>
    </x:row>
    <x:row r="150">
      <x:c r="A150" s="16" t="str">
        <x:v>Quarter_Q1/quick_assets/latest_fy_end</x:v>
      </x:c>
      <x:c r="B150" s="18" t="str">
        <x:v>缺少資料</x:v>
      </x:c>
      <x:c r="C150" s="16"/>
      <x:c r="D150" s="16"/>
      <x:c r="E150" s="16" t="str">
        <x:v>缺少資料</x:v>
      </x:c>
      <x:c r="F150" s="22" t="str">
        <x:v>既有底稿未提供可核實的來源科目／組成；不等於SEC未揭露</x:v>
      </x:c>
      <x:c r="G150" s="22" t="str"/>
    </x:row>
    <x:row r="151">
      <x:c r="A151" s="16" t="str">
        <x:v>Quarter_Q1/net_worth/latest_fy_end</x:v>
      </x:c>
      <x:c r="B151" s="18" t="str">
        <x:v>無法計算／待確認</x:v>
      </x:c>
      <x:c r="C151" s="16"/>
      <x:c r="D151" s="16"/>
      <x:c r="E151" s="16" t="str">
        <x:v>無法計算／待確認</x:v>
      </x:c>
      <x:c r="F151" s="22" t="str">
        <x:v>Approved policy; company-specific source definition not yet verified; candidate retained</x:v>
      </x:c>
      <x:c r="G151" s="22" t="str">
        <x:v>/Users/yuntzuyu/Downloads/e-loan/Quarter/E-Loan YQYQ-Nexstar Q1.xls#Report1!M70; label=A70; dates=M6,M76; unit=O4</x:v>
      </x:c>
    </x:row>
    <x:row r="152">
      <x:c r="A152" s="16" t="str">
        <x:v>Quarter_Q1/capitalized_interest/latest_fy_end</x:v>
      </x:c>
      <x:c r="B152" s="18" t="str">
        <x:v>缺少資料</x:v>
      </x:c>
      <x:c r="C152" s="16"/>
      <x:c r="D152" s="16"/>
      <x:c r="E152" s="16" t="str">
        <x:v>缺少資料</x:v>
      </x:c>
      <x:c r="F152" s="22" t="str">
        <x:v>原始儲存格空白／無可用數值</x:v>
      </x:c>
      <x:c r="G152" s="22" t="str">
        <x:v>/Users/yuntzuyu/Downloads/e-loan/Quarter/E-Loan YQYQ-Nexstar Q1.xls#Report1!M120; label=A120; dates=M6,M76; unit=O4</x:v>
      </x:c>
    </x:row>
    <x:row r="153">
      <x:c r="A153" s="16" t="str">
        <x:v>Quarter_Q1/da/latest_fy_end</x:v>
      </x:c>
      <x:c r="B153" s="18" t="n">
        <x:f>IF(AND(ISNUMBER(C153),ISNUMBER(D153)),C153*D153/1000000,"缺少資料")</x:f>
        <x:v>785</x:v>
      </x:c>
      <x:c r="C153" s="16" t="n">
        <x:v>785000</x:v>
      </x:c>
      <x:c r="D153" s="16" t="n">
        <x:v>1000</x:v>
      </x:c>
      <x:c r="E153" s="16" t="str">
        <x:v>sourced</x:v>
      </x:c>
      <x:c r="F153" s="22" t="str">
        <x:v>Depreciation &amp; Amortization</x:v>
      </x:c>
      <x:c r="G153" s="22" t="str">
        <x:v>/Users/yuntzuyu/Downloads/e-loan/Quarter/E-Loan YQYQ-Nexstar Q1.xls#Report1!M121; label=A121; dates=M6,M76; unit=O4</x:v>
      </x:c>
    </x:row>
    <x:row r="154">
      <x:c r="A154" s="16" t="str">
        <x:v>Quarter_Q1/current_assets/current_interim</x:v>
      </x:c>
      <x:c r="B154" s="18" t="n">
        <x:f>IF(AND(ISNUMBER(C154),ISNUMBER(D154)),C154*D154/1000000,"缺少資料")</x:f>
        <x:v>2282</x:v>
      </x:c>
      <x:c r="C154" s="16" t="n">
        <x:v>2282000</x:v>
      </x:c>
      <x:c r="D154" s="16" t="n">
        <x:v>1000</x:v>
      </x:c>
      <x:c r="E154" s="16" t="str">
        <x:v>sourced</x:v>
      </x:c>
      <x:c r="F154" s="22" t="str">
        <x:v>Current Assets</x:v>
      </x:c>
      <x:c r="G154" s="22" t="str">
        <x:v>/Users/yuntzuyu/Downloads/e-loan/Quarter/E-Loan YQYQ-Nexstar Q1.xls#Report1!R10; label=A10; dates=R6,R76; unit=O4</x:v>
      </x:c>
    </x:row>
    <x:row r="155">
      <x:c r="A155" s="16" t="str">
        <x:v>Quarter_Q1/current_liabilities/current_interim</x:v>
      </x:c>
      <x:c r="B155" s="18" t="n">
        <x:f>IF(AND(ISNUMBER(C155),ISNUMBER(D155)),C155*D155/1000000,"缺少資料")</x:f>
        <x:v>1299</x:v>
      </x:c>
      <x:c r="C155" s="16" t="n">
        <x:v>1299000</x:v>
      </x:c>
      <x:c r="D155" s="16" t="n">
        <x:v>1000</x:v>
      </x:c>
      <x:c r="E155" s="16" t="str">
        <x:v>sourced</x:v>
      </x:c>
      <x:c r="F155" s="22" t="str">
        <x:v>Current Liabilities</x:v>
      </x:c>
      <x:c r="G155" s="22" t="str">
        <x:v>/Users/yuntzuyu/Downloads/e-loan/Quarter/E-Loan YQYQ-Nexstar Q1.xls#Report1!R40; label=A40; dates=R6,R76; unit=O4</x:v>
      </x:c>
    </x:row>
    <x:row r="156">
      <x:c r="A156" s="16" t="str">
        <x:v>Quarter_Q1/total_liabilities/current_interim</x:v>
      </x:c>
      <x:c r="B156" s="18" t="n">
        <x:f>IF(AND(ISNUMBER(C156),ISNUMBER(D156)),C156*D156/1000000,"缺少資料")</x:f>
        <x:v>15935</x:v>
      </x:c>
      <x:c r="C156" s="16" t="n">
        <x:v>15935000</x:v>
      </x:c>
      <x:c r="D156" s="16" t="n">
        <x:v>1000</x:v>
      </x:c>
      <x:c r="E156" s="16" t="str">
        <x:v>sourced</x:v>
      </x:c>
      <x:c r="F156" s="22" t="str">
        <x:v>Total Liabilities</x:v>
      </x:c>
      <x:c r="G156" s="22" t="str">
        <x:v>/Users/yuntzuyu/Downloads/e-loan/Quarter/E-Loan YQYQ-Nexstar Q1.xls#Report1!R62; label=A62; dates=R6,R76; unit=O4</x:v>
      </x:c>
    </x:row>
    <x:row r="157">
      <x:c r="A157" s="16" t="str">
        <x:v>Quarter_Q1/quick_assets/current_interim</x:v>
      </x:c>
      <x:c r="B157" s="18" t="str">
        <x:v>缺少資料</x:v>
      </x:c>
      <x:c r="C157" s="16"/>
      <x:c r="D157" s="16"/>
      <x:c r="E157" s="16" t="str">
        <x:v>缺少資料</x:v>
      </x:c>
      <x:c r="F157" s="22" t="str">
        <x:v>既有底稿未提供可核實的來源科目／組成；不等於SEC未揭露</x:v>
      </x:c>
      <x:c r="G157" s="22" t="str"/>
    </x:row>
    <x:row r="158">
      <x:c r="A158" s="16" t="str">
        <x:v>Quarter_Q1/net_worth/current_interim</x:v>
      </x:c>
      <x:c r="B158" s="18" t="str">
        <x:v>無法計算／待確認</x:v>
      </x:c>
      <x:c r="C158" s="16"/>
      <x:c r="D158" s="16"/>
      <x:c r="E158" s="16" t="str">
        <x:v>無法計算／待確認</x:v>
      </x:c>
      <x:c r="F158" s="22" t="str">
        <x:v>Approved policy; company-specific source definition not yet verified; candidate retained</x:v>
      </x:c>
      <x:c r="G158" s="22" t="str">
        <x:v>/Users/yuntzuyu/Downloads/e-loan/Quarter/E-Loan YQYQ-Nexstar Q1.xls#Report1!R70; label=A70; dates=R6,R76; unit=O4</x:v>
      </x:c>
    </x:row>
    <x:row r="159">
      <x:c r="A159" s="16" t="str">
        <x:v>Quarter_Q1/capitalized_interest/current_interim</x:v>
      </x:c>
      <x:c r="B159" s="18" t="str">
        <x:v>缺少資料</x:v>
      </x:c>
      <x:c r="C159" s="16"/>
      <x:c r="D159" s="16"/>
      <x:c r="E159" s="16" t="str">
        <x:v>缺少資料</x:v>
      </x:c>
      <x:c r="F159" s="22" t="str">
        <x:v>原始儲存格空白／無可用數值</x:v>
      </x:c>
      <x:c r="G159" s="22" t="str">
        <x:v>/Users/yuntzuyu/Downloads/e-loan/Quarter/E-Loan YQYQ-Nexstar Q1.xls#Report1!R120; label=A120; dates=R6,R76; unit=O4</x:v>
      </x:c>
    </x:row>
    <x:row r="160">
      <x:c r="A160" s="16" t="str">
        <x:v>Quarter_Q1/da/current_interim</x:v>
      </x:c>
      <x:c r="B160" s="18" t="n">
        <x:f>IF(AND(ISNUMBER(C160),ISNUMBER(D160)),C160*D160/1000000,"缺少資料")</x:f>
        <x:v>193</x:v>
      </x:c>
      <x:c r="C160" s="16" t="n">
        <x:v>193000</x:v>
      </x:c>
      <x:c r="D160" s="16" t="n">
        <x:v>1000</x:v>
      </x:c>
      <x:c r="E160" s="16" t="str">
        <x:v>sourced</x:v>
      </x:c>
      <x:c r="F160" s="22" t="str">
        <x:v>Depreciation &amp; Amortization</x:v>
      </x:c>
      <x:c r="G160" s="22" t="str">
        <x:v>/Users/yuntzuyu/Downloads/e-loan/Quarter/E-Loan YQYQ-Nexstar Q1.xls#Report1!R121; label=A121; dates=R6,R76; unit=O4</x:v>
      </x:c>
    </x:row>
    <x:row r="161">
      <x:c r="A161" s="16" t="str">
        <x:v>Quarter_Q1/revenue_growth/earlier_fy_end</x:v>
      </x:c>
      <x:c r="B161" s="19" t="str">
        <x:v>無法計算／待確認</x:v>
      </x:c>
      <x:c r="C161" s="16"/>
      <x:c r="D161" s="16"/>
      <x:c r="E161" s="16" t="str">
        <x:v>無法計算／待確認</x:v>
      </x:c>
      <x:c r="F161" s="22" t="str">
        <x:v>Required inputs unavailable</x:v>
      </x:c>
      <x:c r="G161" s="22" t="str"/>
    </x:row>
    <x:row r="162">
      <x:c r="A162" s="16" t="str">
        <x:v>Quarter_Q1/gross_margin/earlier_fy_end</x:v>
      </x:c>
      <x:c r="B162" s="19" t="str">
        <x:v>無法計算／待確認</x:v>
      </x:c>
      <x:c r="C162" s="16"/>
      <x:c r="D162" s="16"/>
      <x:c r="E162" s="16" t="str">
        <x:v>無法計算／待確認</x:v>
      </x:c>
      <x:c r="F162" s="22" t="str">
        <x:v>Required inputs unavailable</x:v>
      </x:c>
      <x:c r="G162" s="22" t="str"/>
    </x:row>
    <x:row r="163">
      <x:c r="A163" s="16" t="str">
        <x:v>Quarter_Q1/operating_margin/earlier_fy_end</x:v>
      </x:c>
      <x:c r="B163" s="19" t="str">
        <x:v>無法計算／待確認</x:v>
      </x:c>
      <x:c r="C163" s="16"/>
      <x:c r="D163" s="16"/>
      <x:c r="E163" s="16" t="str">
        <x:v>無法計算／待確認</x:v>
      </x:c>
      <x:c r="F163" s="22" t="str">
        <x:v>Required inputs unavailable</x:v>
      </x:c>
      <x:c r="G163" s="22" t="str"/>
    </x:row>
    <x:row r="164">
      <x:c r="A164" s="16" t="str">
        <x:v>Quarter_Q1/pretax_margin/earlier_fy_end</x:v>
      </x:c>
      <x:c r="B164" s="19" t="str">
        <x:v>無法計算／待確認</x:v>
      </x:c>
      <x:c r="C164" s="16"/>
      <x:c r="D164" s="16"/>
      <x:c r="E164" s="16" t="str">
        <x:v>無法計算／待確認</x:v>
      </x:c>
      <x:c r="F164" s="22" t="str">
        <x:v>Required inputs unavailable</x:v>
      </x:c>
      <x:c r="G164" s="22" t="str"/>
    </x:row>
    <x:row r="165">
      <x:c r="A165" s="16" t="str">
        <x:v>Quarter_Q1/operating_margin_change/earlier_fy_end</x:v>
      </x:c>
      <x:c r="B165" s="19" t="str">
        <x:v>無法計算／待確認</x:v>
      </x:c>
      <x:c r="C165" s="16"/>
      <x:c r="D165" s="16"/>
      <x:c r="E165" s="16" t="str">
        <x:v>無法計算／待確認</x:v>
      </x:c>
      <x:c r="F165" s="22" t="str">
        <x:v>Required inputs unavailable</x:v>
      </x:c>
      <x:c r="G165" s="22" t="str"/>
    </x:row>
    <x:row r="166">
      <x:c r="A166" s="16" t="str">
        <x:v>Quarter_Q1/revenue_growth/prior_interim</x:v>
      </x:c>
      <x:c r="B166" s="19" t="str">
        <x:v>無法計算／待確認</x:v>
      </x:c>
      <x:c r="C166" s="16"/>
      <x:c r="D166" s="16"/>
      <x:c r="E166" s="16" t="str">
        <x:v>無法計算／待確認</x:v>
      </x:c>
      <x:c r="F166" s="22" t="str">
        <x:v>Required inputs unavailable</x:v>
      </x:c>
      <x:c r="G166" s="22" t="str"/>
    </x:row>
    <x:row r="167">
      <x:c r="A167" s="16" t="str">
        <x:v>Quarter_Q1/gross_margin/prior_interim</x:v>
      </x:c>
      <x:c r="B167" s="19" t="n">
        <x:f>IF(AND(ISNUMBER(B77),ISNUMBER(B69)),IF(B69=0,"無法計算",B77/B69),"缺少資料")</x:f>
        <x:v>0.553484602917342</x:v>
      </x:c>
      <x:c r="C167" s="16"/>
      <x:c r="D167" s="16"/>
      <x:c r="E167" s="16" t="str">
        <x:v>calculated</x:v>
      </x:c>
      <x:c r="F167" s="22" t="str">
        <x:v>Gross Profit / Revenues</x:v>
      </x:c>
      <x:c r="G167" s="22" t="str"/>
    </x:row>
    <x:row r="168">
      <x:c r="A168" s="16" t="str">
        <x:v>Quarter_Q1/operating_margin/prior_interim</x:v>
      </x:c>
      <x:c r="B168" s="19" t="n">
        <x:f>IF(AND(ISNUMBER(B85),ISNUMBER(B69)),IF(B69=0,"無法計算",B85/B69),"缺少資料")</x:f>
        <x:v>0.17828200972447325</x:v>
      </x:c>
      <x:c r="C168" s="16"/>
      <x:c r="D168" s="16"/>
      <x:c r="E168" s="16" t="str">
        <x:v>calculated</x:v>
      </x:c>
      <x:c r="F168" s="22" t="str">
        <x:v>Operating Profit / Revenues</x:v>
      </x:c>
      <x:c r="G168" s="22" t="str"/>
    </x:row>
    <x:row r="169">
      <x:c r="A169" s="16" t="str">
        <x:v>Quarter_Q1/pretax_margin/prior_interim</x:v>
      </x:c>
      <x:c r="B169" s="19" t="n">
        <x:f>IF(AND(ISNUMBER(B93),ISNUMBER(B69)),IF(B69=0,"無法計算",B93/B69),"缺少資料")</x:f>
        <x:v>0.11183144246353323</x:v>
      </x:c>
      <x:c r="C169" s="16"/>
      <x:c r="D169" s="16"/>
      <x:c r="E169" s="16" t="str">
        <x:v>calculated</x:v>
      </x:c>
      <x:c r="F169" s="22" t="str">
        <x:v>Pre-tax Profit / Revenues</x:v>
      </x:c>
      <x:c r="G169" s="22" t="str"/>
    </x:row>
    <x:row r="170">
      <x:c r="A170" s="16" t="str">
        <x:v>Quarter_Q1/operating_margin_change/prior_interim</x:v>
      </x:c>
      <x:c r="B170" s="19" t="str">
        <x:v>無法計算／待確認</x:v>
      </x:c>
      <x:c r="C170" s="16"/>
      <x:c r="D170" s="16"/>
      <x:c r="E170" s="16" t="str">
        <x:v>無法計算／待確認</x:v>
      </x:c>
      <x:c r="F170" s="22" t="str">
        <x:v>Required inputs unavailable</x:v>
      </x:c>
      <x:c r="G170" s="22" t="str"/>
    </x:row>
    <x:row r="171">
      <x:c r="A171" s="16" t="str">
        <x:v>Quarter_Q1/revenue_growth/latest_fy_end</x:v>
      </x:c>
      <x:c r="B171" s="19" t="str">
        <x:v>無法計算／待確認</x:v>
      </x:c>
      <x:c r="C171" s="16"/>
      <x:c r="D171" s="16"/>
      <x:c r="E171" s="16" t="str">
        <x:v>無法計算／待確認</x:v>
      </x:c>
      <x:c r="F171" s="22" t="str">
        <x:v>Required inputs unavailable</x:v>
      </x:c>
      <x:c r="G171" s="22" t="str"/>
    </x:row>
    <x:row r="172">
      <x:c r="A172" s="16" t="str">
        <x:v>Quarter_Q1/gross_margin/latest_fy_end</x:v>
      </x:c>
      <x:c r="B172" s="19" t="str">
        <x:v>無法計算／待確認</x:v>
      </x:c>
      <x:c r="C172" s="16"/>
      <x:c r="D172" s="16"/>
      <x:c r="E172" s="16" t="str">
        <x:v>無法計算／待確認</x:v>
      </x:c>
      <x:c r="F172" s="22" t="str">
        <x:v>Required inputs unavailable</x:v>
      </x:c>
      <x:c r="G172" s="22" t="str"/>
    </x:row>
    <x:row r="173">
      <x:c r="A173" s="16" t="str">
        <x:v>Quarter_Q1/operating_margin/latest_fy_end</x:v>
      </x:c>
      <x:c r="B173" s="19" t="str">
        <x:v>無法計算／待確認</x:v>
      </x:c>
      <x:c r="C173" s="16"/>
      <x:c r="D173" s="16"/>
      <x:c r="E173" s="16" t="str">
        <x:v>無法計算／待確認</x:v>
      </x:c>
      <x:c r="F173" s="22" t="str">
        <x:v>Required inputs unavailable</x:v>
      </x:c>
      <x:c r="G173" s="22" t="str"/>
    </x:row>
    <x:row r="174">
      <x:c r="A174" s="16" t="str">
        <x:v>Quarter_Q1/pretax_margin/latest_fy_end</x:v>
      </x:c>
      <x:c r="B174" s="19" t="str">
        <x:v>無法計算／待確認</x:v>
      </x:c>
      <x:c r="C174" s="16"/>
      <x:c r="D174" s="16"/>
      <x:c r="E174" s="16" t="str">
        <x:v>無法計算／待確認</x:v>
      </x:c>
      <x:c r="F174" s="22" t="str">
        <x:v>Required inputs unavailable</x:v>
      </x:c>
      <x:c r="G174" s="22" t="str"/>
    </x:row>
    <x:row r="175">
      <x:c r="A175" s="16" t="str">
        <x:v>Quarter_Q1/operating_margin_change/latest_fy_end</x:v>
      </x:c>
      <x:c r="B175" s="19" t="str">
        <x:v>無法計算／待確認</x:v>
      </x:c>
      <x:c r="C175" s="16"/>
      <x:c r="D175" s="16"/>
      <x:c r="E175" s="16" t="str">
        <x:v>無法計算／待確認</x:v>
      </x:c>
      <x:c r="F175" s="22" t="str">
        <x:v>Required inputs unavailable</x:v>
      </x:c>
      <x:c r="G175" s="22" t="str"/>
    </x:row>
    <x:row r="176">
      <x:c r="A176" s="16" t="str">
        <x:v>Quarter_Q1/revenue_growth/current_interim</x:v>
      </x:c>
      <x:c r="B176" s="19" t="n">
        <x:f>IF(AND(ISNUMBER(B71),ISNUMBER(B69)),IF(B69=0,"無法計算",(B71-B69)/B69),"缺少資料")</x:f>
        <x:v>0.1312803889789303</x:v>
      </x:c>
      <x:c r="C176" s="16"/>
      <x:c r="D176" s="16"/>
      <x:c r="E176" s="16" t="str">
        <x:v>calculated</x:v>
      </x:c>
      <x:c r="F176" s="22" t="str">
        <x:v>(Current Year Revenues - Previous Year Revenues) / Previous Year Revenues</x:v>
      </x:c>
      <x:c r="G176" s="22" t="str"/>
    </x:row>
    <x:row r="177">
      <x:c r="A177" s="16" t="str">
        <x:v>Quarter_Q1/gross_margin/current_interim</x:v>
      </x:c>
      <x:c r="B177" s="19" t="n">
        <x:f>IF(AND(ISNUMBER(B79),ISNUMBER(B71)),IF(B71=0,"無法計算",B79/B71),"缺少資料")</x:f>
        <x:v>0.5623209169054442</x:v>
      </x:c>
      <x:c r="C177" s="16"/>
      <x:c r="D177" s="16"/>
      <x:c r="E177" s="16" t="str">
        <x:v>calculated</x:v>
      </x:c>
      <x:c r="F177" s="22" t="str">
        <x:v>Gross Profit / Revenues</x:v>
      </x:c>
      <x:c r="G177" s="22" t="str"/>
    </x:row>
    <x:row r="178">
      <x:c r="A178" s="16" t="str">
        <x:v>Quarter_Q1/operating_margin/current_interim</x:v>
      </x:c>
      <x:c r="B178" s="19" t="n">
        <x:f>IF(AND(ISNUMBER(B87),ISNUMBER(B71)),IF(B71=0,"無法計算",B87/B71),"缺少資料")</x:f>
        <x:v>0.18982808022922637</x:v>
      </x:c>
      <x:c r="C178" s="16"/>
      <x:c r="D178" s="16"/>
      <x:c r="E178" s="16" t="str">
        <x:v>calculated</x:v>
      </x:c>
      <x:c r="F178" s="22" t="str">
        <x:v>Operating Profit / Revenues</x:v>
      </x:c>
      <x:c r="G178" s="22" t="str"/>
    </x:row>
    <x:row r="179">
      <x:c r="A179" s="16" t="str">
        <x:v>Quarter_Q1/pretax_margin/current_interim</x:v>
      </x:c>
      <x:c r="B179" s="19" t="n">
        <x:f>IF(AND(ISNUMBER(B95),ISNUMBER(B71)),IF(B71=0,"無法計算",B95/B71),"缺少資料")</x:f>
        <x:v>0.10959885386819485</x:v>
      </x:c>
      <x:c r="C179" s="16"/>
      <x:c r="D179" s="16"/>
      <x:c r="E179" s="16" t="str">
        <x:v>calculated</x:v>
      </x:c>
      <x:c r="F179" s="22" t="str">
        <x:v>Pre-tax Profit / Revenues</x:v>
      </x:c>
      <x:c r="G179" s="22" t="str"/>
    </x:row>
    <x:row r="180">
      <x:c r="A180" s="16" t="str">
        <x:v>Quarter_Q1/operating_margin_change/current_interim</x:v>
      </x:c>
      <x:c r="B180" s="19" t="n">
        <x:f>IF(AND(ISNUMBER(B178),ISNUMBER(B168)),B178-B168,"缺少資料")</x:f>
        <x:v>0.01154607050475312</x:v>
      </x:c>
      <x:c r="C180" s="16"/>
      <x:c r="D180" s="16"/>
      <x:c r="E180" s="16" t="str">
        <x:v>calculated</x:v>
      </x:c>
      <x:c r="F180" s="22" t="str">
        <x:v>Current Operating Profit Margin - Previous Operating Profit Margin</x:v>
      </x:c>
      <x:c r="G180" s="22" t="str"/>
    </x:row>
    <x:row r="181">
      <x:c r="A181" s="16" t="str">
        <x:v>Quarter_Q2/revenue/prior_interim</x:v>
      </x:c>
      <x:c r="B181" s="18" t="n">
        <x:f>IF(AND(ISNUMBER(C181),ISNUMBER(D181)),C181*D181/1000000,"缺少資料")</x:f>
        <x:v>2462</x:v>
      </x:c>
      <x:c r="C181" s="16" t="n">
        <x:v>2462000</x:v>
      </x:c>
      <x:c r="D181" s="16" t="n">
        <x:v>1000</x:v>
      </x:c>
      <x:c r="E181" s="16" t="str">
        <x:v>sourced</x:v>
      </x:c>
      <x:c r="F181" s="22" t="str">
        <x:v>Revenues</x:v>
      </x:c>
      <x:c r="G181" s="22" t="str">
        <x:v>/Users/yuntzuyu/Downloads/e-loan/Quarter/E-Loan YQYQ-Nexstar Q2.xls#Report1!I80; label=A80; dates=I6,I76; unit=O4</x:v>
      </x:c>
    </x:row>
    <x:row r="182">
      <x:c r="A182" s="16" t="str">
        <x:v>Quarter_Q2/revenue/prior_interim</x:v>
      </x:c>
      <x:c r="B182" s="19" t="n">
        <x:f>IF(AND(ISNUMBER(B181),ISNUMBER(B181)),IF(B181=0,"無法計算",B181/B181),"缺少資料")</x:f>
        <x:v>1</x:v>
      </x:c>
      <x:c r="C182" s="16"/>
      <x:c r="D182" s="16"/>
      <x:c r="E182" s="16" t="str">
        <x:v>calculated</x:v>
      </x:c>
      <x:c r="F182" s="22" t="str">
        <x:v>revenue / revenue</x:v>
      </x:c>
      <x:c r="G182" s="22" t="str"/>
    </x:row>
    <x:row r="183">
      <x:c r="A183" s="16" t="str">
        <x:v>Quarter_Q2/revenue/current_interim</x:v>
      </x:c>
      <x:c r="B183" s="18" t="n">
        <x:f>IF(AND(ISNUMBER(C183),ISNUMBER(D183)),C183*D183/1000000,"缺少資料")</x:f>
        <x:v>3389</x:v>
      </x:c>
      <x:c r="C183" s="16" t="n">
        <x:v>3389000</x:v>
      </x:c>
      <x:c r="D183" s="16" t="n">
        <x:v>1000</x:v>
      </x:c>
      <x:c r="E183" s="16" t="str">
        <x:v>sourced</x:v>
      </x:c>
      <x:c r="F183" s="22" t="str">
        <x:v>Revenues</x:v>
      </x:c>
      <x:c r="G183" s="22" t="str">
        <x:v>/Users/yuntzuyu/Downloads/e-loan/Quarter/E-Loan YQYQ-Nexstar Q2.xls#Report1!R80; label=A80; dates=R6,R76; unit=O4</x:v>
      </x:c>
    </x:row>
    <x:row r="184">
      <x:c r="A184" s="16" t="str">
        <x:v>Quarter_Q2/revenue/current_interim</x:v>
      </x:c>
      <x:c r="B184" s="19" t="n">
        <x:f>IF(AND(ISNUMBER(B183),ISNUMBER(B183)),IF(B183=0,"無法計算",B183/B183),"缺少資料")</x:f>
        <x:v>1</x:v>
      </x:c>
      <x:c r="C184" s="16"/>
      <x:c r="D184" s="16"/>
      <x:c r="E184" s="16" t="str">
        <x:v>calculated</x:v>
      </x:c>
      <x:c r="F184" s="22" t="str">
        <x:v>revenue / revenue</x:v>
      </x:c>
      <x:c r="G184" s="22" t="str"/>
    </x:row>
    <x:row r="185">
      <x:c r="A185" s="16" t="str">
        <x:v>Quarter_Q2/cost_of_revenue/prior_interim</x:v>
      </x:c>
      <x:c r="B185" s="18" t="n">
        <x:f>IF(AND(ISNUMBER(C185),ISNUMBER(D185)),C185*D185/1000000,"缺少資料")</x:f>
        <x:v>1108</x:v>
      </x:c>
      <x:c r="C185" s="16" t="n">
        <x:v>1108000</x:v>
      </x:c>
      <x:c r="D185" s="16" t="n">
        <x:v>1000</x:v>
      </x:c>
      <x:c r="E185" s="16" t="str">
        <x:v>sourced</x:v>
      </x:c>
      <x:c r="F185" s="22" t="str">
        <x:v>Operating Cost</x:v>
      </x:c>
      <x:c r="G185" s="22" t="str">
        <x:v>/Users/yuntzuyu/Downloads/e-loan/Quarter/E-Loan YQYQ-Nexstar Q2.xls#Report1!I86; label=A86; dates=I6,I76; unit=O4</x:v>
      </x:c>
    </x:row>
    <x:row r="186">
      <x:c r="A186" s="16" t="str">
        <x:v>Quarter_Q2/cost_of_revenue/prior_interim</x:v>
      </x:c>
      <x:c r="B186" s="19" t="n">
        <x:f>IF(AND(ISNUMBER(B185),ISNUMBER(B181)),IF(B181=0,"無法計算",B185/B181),"缺少資料")</x:f>
        <x:v>0.45004061738424045</x:v>
      </x:c>
      <x:c r="C186" s="16"/>
      <x:c r="D186" s="16"/>
      <x:c r="E186" s="16" t="str">
        <x:v>calculated</x:v>
      </x:c>
      <x:c r="F186" s="22" t="str">
        <x:v>cost_of_revenue / revenue</x:v>
      </x:c>
      <x:c r="G186" s="22" t="str"/>
    </x:row>
    <x:row r="187">
      <x:c r="A187" s="16" t="str">
        <x:v>Quarter_Q2/cost_of_revenue/current_interim</x:v>
      </x:c>
      <x:c r="B187" s="18" t="n">
        <x:f>IF(AND(ISNUMBER(C187),ISNUMBER(D187)),C187*D187/1000000,"缺少資料")</x:f>
        <x:v>1541</x:v>
      </x:c>
      <x:c r="C187" s="16" t="n">
        <x:v>1541000</x:v>
      </x:c>
      <x:c r="D187" s="16" t="n">
        <x:v>1000</x:v>
      </x:c>
      <x:c r="E187" s="16" t="str">
        <x:v>sourced</x:v>
      </x:c>
      <x:c r="F187" s="22" t="str">
        <x:v>Operating Cost</x:v>
      </x:c>
      <x:c r="G187" s="22" t="str">
        <x:v>/Users/yuntzuyu/Downloads/e-loan/Quarter/E-Loan YQYQ-Nexstar Q2.xls#Report1!R86; label=A86; dates=R6,R76; unit=O4</x:v>
      </x:c>
    </x:row>
    <x:row r="188">
      <x:c r="A188" s="16" t="str">
        <x:v>Quarter_Q2/cost_of_revenue/current_interim</x:v>
      </x:c>
      <x:c r="B188" s="19" t="n">
        <x:f>IF(AND(ISNUMBER(B187),ISNUMBER(B183)),IF(B183=0,"無法計算",B187/B183),"缺少資料")</x:f>
        <x:v>0.4547064030687518</x:v>
      </x:c>
      <x:c r="C188" s="16"/>
      <x:c r="D188" s="16"/>
      <x:c r="E188" s="16" t="str">
        <x:v>calculated</x:v>
      </x:c>
      <x:c r="F188" s="22" t="str">
        <x:v>cost_of_revenue / revenue</x:v>
      </x:c>
      <x:c r="G188" s="22" t="str"/>
    </x:row>
    <x:row r="189">
      <x:c r="A189" s="16" t="str">
        <x:v>Quarter_Q2/gross_profit/prior_interim</x:v>
      </x:c>
      <x:c r="B189" s="18" t="n">
        <x:f>IF(AND(ISNUMBER(C189),ISNUMBER(D189)),C189*D189/1000000,"缺少資料")</x:f>
        <x:v>1354</x:v>
      </x:c>
      <x:c r="C189" s="16" t="n">
        <x:v>1354000</x:v>
      </x:c>
      <x:c r="D189" s="16" t="n">
        <x:v>1000</x:v>
      </x:c>
      <x:c r="E189" s="16" t="str">
        <x:v>sourced</x:v>
      </x:c>
      <x:c r="F189" s="22" t="str">
        <x:v>Gross Profit</x:v>
      </x:c>
      <x:c r="G189" s="22" t="str">
        <x:v>/Users/yuntzuyu/Downloads/e-loan/Quarter/E-Loan YQYQ-Nexstar Q2.xls#Report1!I94; label=A94; dates=I6,I76; unit=O4</x:v>
      </x:c>
    </x:row>
    <x:row r="190">
      <x:c r="A190" s="16" t="str">
        <x:v>Quarter_Q2/gross_profit/prior_interim</x:v>
      </x:c>
      <x:c r="B190" s="19" t="n">
        <x:f>IF(AND(ISNUMBER(B189),ISNUMBER(B181)),IF(B181=0,"無法計算",B189/B181),"缺少資料")</x:f>
        <x:v>0.5499593826157595</x:v>
      </x:c>
      <x:c r="C190" s="16"/>
      <x:c r="D190" s="16"/>
      <x:c r="E190" s="16" t="str">
        <x:v>calculated</x:v>
      </x:c>
      <x:c r="F190" s="22" t="str">
        <x:v>gross_profit / revenue</x:v>
      </x:c>
      <x:c r="G190" s="22" t="str"/>
    </x:row>
    <x:row r="191">
      <x:c r="A191" s="16" t="str">
        <x:v>Quarter_Q2/gross_profit/current_interim</x:v>
      </x:c>
      <x:c r="B191" s="18" t="n">
        <x:f>IF(AND(ISNUMBER(C191),ISNUMBER(D191)),C191*D191/1000000,"缺少資料")</x:f>
        <x:v>1848</x:v>
      </x:c>
      <x:c r="C191" s="16" t="n">
        <x:v>1848000</x:v>
      </x:c>
      <x:c r="D191" s="16" t="n">
        <x:v>1000</x:v>
      </x:c>
      <x:c r="E191" s="16" t="str">
        <x:v>sourced</x:v>
      </x:c>
      <x:c r="F191" s="22" t="str">
        <x:v>Gross Profit</x:v>
      </x:c>
      <x:c r="G191" s="22" t="str">
        <x:v>/Users/yuntzuyu/Downloads/e-loan/Quarter/E-Loan YQYQ-Nexstar Q2.xls#Report1!R94; label=A94; dates=R6,R76; unit=O4</x:v>
      </x:c>
    </x:row>
    <x:row r="192">
      <x:c r="A192" s="16" t="str">
        <x:v>Quarter_Q2/gross_profit/current_interim</x:v>
      </x:c>
      <x:c r="B192" s="19" t="n">
        <x:f>IF(AND(ISNUMBER(B191),ISNUMBER(B183)),IF(B183=0,"無法計算",B191/B183),"缺少資料")</x:f>
        <x:v>0.5452935969312481</x:v>
      </x:c>
      <x:c r="C192" s="16"/>
      <x:c r="D192" s="16"/>
      <x:c r="E192" s="16" t="str">
        <x:v>calculated</x:v>
      </x:c>
      <x:c r="F192" s="22" t="str">
        <x:v>gross_profit / revenue</x:v>
      </x:c>
      <x:c r="G192" s="22" t="str"/>
    </x:row>
    <x:row r="193">
      <x:c r="A193" s="16" t="str">
        <x:v>Quarter_Q2/operating_expense/prior_interim</x:v>
      </x:c>
      <x:c r="B193" s="18" t="str">
        <x:v>無法計算／待確認</x:v>
      </x:c>
      <x:c r="C193" s="16"/>
      <x:c r="D193" s="16"/>
      <x:c r="E193" s="16" t="str">
        <x:v>無法計算／待確認</x:v>
      </x:c>
      <x:c r="F193" s="22" t="str">
        <x:v>Operating Expense 包含／排除COGS及完整範圍未核實；原值保留於來源清單</x:v>
      </x:c>
      <x:c r="G193" s="22" t="str">
        <x:v>/Users/yuntzuyu/Downloads/e-loan/Quarter/E-Loan YQYQ-Nexstar Q2.xls#Report1!I96; label=A96; dates=I6,I76; unit=O4</x:v>
      </x:c>
    </x:row>
    <x:row r="194">
      <x:c r="A194" s="16" t="str">
        <x:v>Quarter_Q2/operating_expense/prior_interim</x:v>
      </x:c>
      <x:c r="B194" s="19" t="str">
        <x:v>無法計算／待確認</x:v>
      </x:c>
      <x:c r="C194" s="16"/>
      <x:c r="D194" s="16"/>
      <x:c r="E194" s="16" t="str">
        <x:v>無法計算／待確認</x:v>
      </x:c>
      <x:c r="F194" s="22" t="str">
        <x:v>Required inputs unavailable</x:v>
      </x:c>
      <x:c r="G194" s="22" t="str"/>
    </x:row>
    <x:row r="195">
      <x:c r="A195" s="16" t="str">
        <x:v>Quarter_Q2/operating_expense/current_interim</x:v>
      </x:c>
      <x:c r="B195" s="18" t="str">
        <x:v>無法計算／待確認</x:v>
      </x:c>
      <x:c r="C195" s="16"/>
      <x:c r="D195" s="16"/>
      <x:c r="E195" s="16" t="str">
        <x:v>無法計算／待確認</x:v>
      </x:c>
      <x:c r="F195" s="22" t="str">
        <x:v>Operating Expense 包含／排除COGS及完整範圍未核實；原值保留於來源清單</x:v>
      </x:c>
      <x:c r="G195" s="22" t="str">
        <x:v>/Users/yuntzuyu/Downloads/e-loan/Quarter/E-Loan YQYQ-Nexstar Q2.xls#Report1!R96; label=A96; dates=R6,R76; unit=O4</x:v>
      </x:c>
    </x:row>
    <x:row r="196">
      <x:c r="A196" s="16" t="str">
        <x:v>Quarter_Q2/operating_expense/current_interim</x:v>
      </x:c>
      <x:c r="B196" s="19" t="str">
        <x:v>無法計算／待確認</x:v>
      </x:c>
      <x:c r="C196" s="16"/>
      <x:c r="D196" s="16"/>
      <x:c r="E196" s="16" t="str">
        <x:v>無法計算／待確認</x:v>
      </x:c>
      <x:c r="F196" s="22" t="str">
        <x:v>Required inputs unavailable</x:v>
      </x:c>
      <x:c r="G196" s="22" t="str"/>
    </x:row>
    <x:row r="197">
      <x:c r="A197" s="16" t="str">
        <x:v>Quarter_Q2/operating_income/prior_interim</x:v>
      </x:c>
      <x:c r="B197" s="18" t="n">
        <x:f>IF(AND(ISNUMBER(C197),ISNUMBER(D197)),C197*D197/1000000,"缺少資料")</x:f>
        <x:v>432</x:v>
      </x:c>
      <x:c r="C197" s="16" t="n">
        <x:v>432000</x:v>
      </x:c>
      <x:c r="D197" s="16" t="n">
        <x:v>1000</x:v>
      </x:c>
      <x:c r="E197" s="16" t="str">
        <x:v>sourced</x:v>
      </x:c>
      <x:c r="F197" s="22" t="str">
        <x:v>Operating Profit</x:v>
      </x:c>
      <x:c r="G197" s="22" t="str">
        <x:v>/Users/yuntzuyu/Downloads/e-loan/Quarter/E-Loan YQYQ-Nexstar Q2.xls#Report1!I97; label=A97; dates=I6,I76; unit=O4</x:v>
      </x:c>
    </x:row>
    <x:row r="198">
      <x:c r="A198" s="16" t="str">
        <x:v>Quarter_Q2/operating_income/prior_interim</x:v>
      </x:c>
      <x:c r="B198" s="19" t="n">
        <x:f>IF(AND(ISNUMBER(B197),ISNUMBER(B181)),IF(B181=0,"無法計算",B197/B181),"缺少資料")</x:f>
        <x:v>0.17546709991876522</x:v>
      </x:c>
      <x:c r="C198" s="16"/>
      <x:c r="D198" s="16"/>
      <x:c r="E198" s="16" t="str">
        <x:v>calculated</x:v>
      </x:c>
      <x:c r="F198" s="22" t="str">
        <x:v>operating_income / revenue</x:v>
      </x:c>
      <x:c r="G198" s="22" t="str"/>
    </x:row>
    <x:row r="199">
      <x:c r="A199" s="16" t="str">
        <x:v>Quarter_Q2/operating_income/current_interim</x:v>
      </x:c>
      <x:c r="B199" s="18" t="n">
        <x:f>IF(AND(ISNUMBER(C199),ISNUMBER(D199)),C199*D199/1000000,"缺少資料")</x:f>
        <x:v>627</x:v>
      </x:c>
      <x:c r="C199" s="16" t="n">
        <x:v>627000</x:v>
      </x:c>
      <x:c r="D199" s="16" t="n">
        <x:v>1000</x:v>
      </x:c>
      <x:c r="E199" s="16" t="str">
        <x:v>sourced</x:v>
      </x:c>
      <x:c r="F199" s="22" t="str">
        <x:v>Operating Profit</x:v>
      </x:c>
      <x:c r="G199" s="22" t="str">
        <x:v>/Users/yuntzuyu/Downloads/e-loan/Quarter/E-Loan YQYQ-Nexstar Q2.xls#Report1!R97; label=A97; dates=R6,R76; unit=O4</x:v>
      </x:c>
    </x:row>
    <x:row r="200">
      <x:c r="A200" s="16" t="str">
        <x:v>Quarter_Q2/operating_income/current_interim</x:v>
      </x:c>
      <x:c r="B200" s="19" t="n">
        <x:f>IF(AND(ISNUMBER(B199),ISNUMBER(B183)),IF(B183=0,"無法計算",B199/B183),"缺少資料")</x:f>
        <x:v>0.1850103275302449</x:v>
      </x:c>
      <x:c r="C200" s="16"/>
      <x:c r="D200" s="16"/>
      <x:c r="E200" s="16" t="str">
        <x:v>calculated</x:v>
      </x:c>
      <x:c r="F200" s="22" t="str">
        <x:v>operating_income / revenue</x:v>
      </x:c>
      <x:c r="G200" s="22" t="str"/>
    </x:row>
    <x:row r="201">
      <x:c r="A201" s="16" t="str">
        <x:v>Quarter_Q2/interest_expense/prior_interim</x:v>
      </x:c>
      <x:c r="B201" s="18" t="str">
        <x:v>無法計算／待確認</x:v>
      </x:c>
      <x:c r="C201" s="16"/>
      <x:c r="D201" s="16"/>
      <x:c r="E201" s="16" t="str">
        <x:v>無法計算／待確認</x:v>
      </x:c>
      <x:c r="F201" s="22" t="str">
        <x:v>Approved policy; company-specific source definition not yet verified; candidate retained</x:v>
      </x:c>
      <x:c r="G201" s="22" t="str">
        <x:v>/Users/yuntzuyu/Downloads/e-loan/Quarter/E-Loan YQYQ-Nexstar Q2.xls#Report1!I106; label=A106; dates=I6,I76; unit=O4</x:v>
      </x:c>
    </x:row>
    <x:row r="202">
      <x:c r="A202" s="16" t="str">
        <x:v>Quarter_Q2/interest_expense/prior_interim</x:v>
      </x:c>
      <x:c r="B202" s="19" t="str">
        <x:v>無法計算／待確認</x:v>
      </x:c>
      <x:c r="C202" s="16"/>
      <x:c r="D202" s="16"/>
      <x:c r="E202" s="16" t="str">
        <x:v>無法計算／待確認</x:v>
      </x:c>
      <x:c r="F202" s="22" t="str">
        <x:v>Required inputs unavailable</x:v>
      </x:c>
      <x:c r="G202" s="22" t="str"/>
    </x:row>
    <x:row r="203">
      <x:c r="A203" s="16" t="str">
        <x:v>Quarter_Q2/interest_expense/current_interim</x:v>
      </x:c>
      <x:c r="B203" s="18" t="str">
        <x:v>無法計算／待確認</x:v>
      </x:c>
      <x:c r="C203" s="16"/>
      <x:c r="D203" s="16"/>
      <x:c r="E203" s="16" t="str">
        <x:v>無法計算／待確認</x:v>
      </x:c>
      <x:c r="F203" s="22" t="str">
        <x:v>Approved policy; company-specific source definition not yet verified; candidate retained</x:v>
      </x:c>
      <x:c r="G203" s="22" t="str">
        <x:v>/Users/yuntzuyu/Downloads/e-loan/Quarter/E-Loan YQYQ-Nexstar Q2.xls#Report1!R106; label=A106; dates=R6,R76; unit=O4</x:v>
      </x:c>
    </x:row>
    <x:row r="204">
      <x:c r="A204" s="16" t="str">
        <x:v>Quarter_Q2/interest_expense/current_interim</x:v>
      </x:c>
      <x:c r="B204" s="19" t="str">
        <x:v>無法計算／待確認</x:v>
      </x:c>
      <x:c r="C204" s="16"/>
      <x:c r="D204" s="16"/>
      <x:c r="E204" s="16" t="str">
        <x:v>無法計算／待確認</x:v>
      </x:c>
      <x:c r="F204" s="22" t="str">
        <x:v>Required inputs unavailable</x:v>
      </x:c>
      <x:c r="G204" s="22" t="str"/>
    </x:row>
    <x:row r="205">
      <x:c r="A205" s="16" t="str">
        <x:v>Quarter_Q2/pretax_profit/prior_interim</x:v>
      </x:c>
      <x:c r="B205" s="18" t="n">
        <x:f>IF(AND(ISNUMBER(C205),ISNUMBER(D205)),C205*D205/1000000,"缺少資料")</x:f>
        <x:v>268</x:v>
      </x:c>
      <x:c r="C205" s="16" t="n">
        <x:v>268000</x:v>
      </x:c>
      <x:c r="D205" s="16" t="n">
        <x:v>1000</x:v>
      </x:c>
      <x:c r="E205" s="16" t="str">
        <x:v>sourced</x:v>
      </x:c>
      <x:c r="F205" s="22" t="str">
        <x:v>Pre-tax Profit (Loss)</x:v>
      </x:c>
      <x:c r="G205" s="22" t="str">
        <x:v>/Users/yuntzuyu/Downloads/e-loan/Quarter/E-Loan YQYQ-Nexstar Q2.xls#Report1!I111; label=A111; dates=I6,I76; unit=O4</x:v>
      </x:c>
    </x:row>
    <x:row r="206">
      <x:c r="A206" s="16" t="str">
        <x:v>Quarter_Q2/pretax_profit/prior_interim</x:v>
      </x:c>
      <x:c r="B206" s="19" t="n">
        <x:f>IF(AND(ISNUMBER(B205),ISNUMBER(B181)),IF(B181=0,"無法計算",B205/B181),"缺少資料")</x:f>
        <x:v>0.10885458976441917</x:v>
      </x:c>
      <x:c r="C206" s="16"/>
      <x:c r="D206" s="16"/>
      <x:c r="E206" s="16" t="str">
        <x:v>calculated</x:v>
      </x:c>
      <x:c r="F206" s="22" t="str">
        <x:v>pretax_profit / revenue</x:v>
      </x:c>
      <x:c r="G206" s="22" t="str"/>
    </x:row>
    <x:row r="207">
      <x:c r="A207" s="16" t="str">
        <x:v>Quarter_Q2/pretax_profit/current_interim</x:v>
      </x:c>
      <x:c r="B207" s="18" t="n">
        <x:f>IF(AND(ISNUMBER(C207),ISNUMBER(D207)),C207*D207/1000000,"缺少資料")</x:f>
        <x:v>330</x:v>
      </x:c>
      <x:c r="C207" s="16" t="n">
        <x:v>330000</x:v>
      </x:c>
      <x:c r="D207" s="16" t="n">
        <x:v>1000</x:v>
      </x:c>
      <x:c r="E207" s="16" t="str">
        <x:v>sourced</x:v>
      </x:c>
      <x:c r="F207" s="22" t="str">
        <x:v>Pre-tax Profit (Loss)</x:v>
      </x:c>
      <x:c r="G207" s="22" t="str">
        <x:v>/Users/yuntzuyu/Downloads/e-loan/Quarter/E-Loan YQYQ-Nexstar Q2.xls#Report1!R111; label=A111; dates=R6,R76; unit=O4</x:v>
      </x:c>
    </x:row>
    <x:row r="208">
      <x:c r="A208" s="16" t="str">
        <x:v>Quarter_Q2/pretax_profit/current_interim</x:v>
      </x:c>
      <x:c r="B208" s="19" t="n">
        <x:f>IF(AND(ISNUMBER(B207),ISNUMBER(B183)),IF(B183=0,"無法計算",B207/B183),"缺少資料")</x:f>
        <x:v>0.09737385659486575</x:v>
      </x:c>
      <x:c r="C208" s="16"/>
      <x:c r="D208" s="16"/>
      <x:c r="E208" s="16" t="str">
        <x:v>calculated</x:v>
      </x:c>
      <x:c r="F208" s="22" t="str">
        <x:v>pretax_profit / revenue</x:v>
      </x:c>
      <x:c r="G208" s="22" t="str"/>
    </x:row>
    <x:row r="209">
      <x:c r="A209" s="16" t="str">
        <x:v>Quarter_Q2/income_tax/prior_interim</x:v>
      </x:c>
      <x:c r="B209" s="18" t="n">
        <x:f>IF(AND(ISNUMBER(C209),ISNUMBER(D209)),C209*D209/1000000,"缺少資料")</x:f>
        <x:v>80</x:v>
      </x:c>
      <x:c r="C209" s="16" t="n">
        <x:v>80000</x:v>
      </x:c>
      <x:c r="D209" s="16" t="n">
        <x:v>1000</x:v>
      </x:c>
      <x:c r="E209" s="16" t="str">
        <x:v>sourced</x:v>
      </x:c>
      <x:c r="F209" s="22" t="str">
        <x:v>Income Tax Expense(Credit)</x:v>
      </x:c>
      <x:c r="G209" s="22" t="str">
        <x:v>/Users/yuntzuyu/Downloads/e-loan/Quarter/E-Loan YQYQ-Nexstar Q2.xls#Report1!I112; label=A112; dates=I6,I76; unit=O4</x:v>
      </x:c>
    </x:row>
    <x:row r="210">
      <x:c r="A210" s="16" t="str">
        <x:v>Quarter_Q2/income_tax/prior_interim</x:v>
      </x:c>
      <x:c r="B210" s="19" t="n">
        <x:f>IF(AND(ISNUMBER(B209),ISNUMBER(B181)),IF(B181=0,"無法計算",B209/B181),"缺少資料")</x:f>
        <x:v>0.03249390739236393</x:v>
      </x:c>
      <x:c r="C210" s="16"/>
      <x:c r="D210" s="16"/>
      <x:c r="E210" s="16" t="str">
        <x:v>calculated</x:v>
      </x:c>
      <x:c r="F210" s="22" t="str">
        <x:v>income_tax / revenue</x:v>
      </x:c>
      <x:c r="G210" s="22" t="str"/>
    </x:row>
    <x:row r="211">
      <x:c r="A211" s="16" t="str">
        <x:v>Quarter_Q2/income_tax/current_interim</x:v>
      </x:c>
      <x:c r="B211" s="18" t="n">
        <x:f>IF(AND(ISNUMBER(C211),ISNUMBER(D211)),C211*D211/1000000,"缺少資料")</x:f>
        <x:v>57</x:v>
      </x:c>
      <x:c r="C211" s="16" t="n">
        <x:v>57000</x:v>
      </x:c>
      <x:c r="D211" s="16" t="n">
        <x:v>1000</x:v>
      </x:c>
      <x:c r="E211" s="16" t="str">
        <x:v>sourced</x:v>
      </x:c>
      <x:c r="F211" s="22" t="str">
        <x:v>Income Tax Expense(Credit)</x:v>
      </x:c>
      <x:c r="G211" s="22" t="str">
        <x:v>/Users/yuntzuyu/Downloads/e-loan/Quarter/E-Loan YQYQ-Nexstar Q2.xls#Report1!R112; label=A112; dates=R6,R76; unit=O4</x:v>
      </x:c>
    </x:row>
    <x:row r="212">
      <x:c r="A212" s="16" t="str">
        <x:v>Quarter_Q2/income_tax/current_interim</x:v>
      </x:c>
      <x:c r="B212" s="19" t="n">
        <x:f>IF(AND(ISNUMBER(B211),ISNUMBER(B183)),IF(B183=0,"無法計算",B211/B183),"缺少資料")</x:f>
        <x:v>0.01681912068456772</x:v>
      </x:c>
      <x:c r="C212" s="16"/>
      <x:c r="D212" s="16"/>
      <x:c r="E212" s="16" t="str">
        <x:v>calculated</x:v>
      </x:c>
      <x:c r="F212" s="22" t="str">
        <x:v>income_tax / revenue</x:v>
      </x:c>
      <x:c r="G212" s="22" t="str"/>
    </x:row>
    <x:row r="213">
      <x:c r="A213" s="16" t="str">
        <x:v>Quarter_Q2/net_income/prior_interim</x:v>
      </x:c>
      <x:c r="B213" s="18" t="n">
        <x:f>IF(AND(ISNUMBER(C213),ISNUMBER(D213)),C213*D213/1000000,"缺少資料")</x:f>
        <x:v>188</x:v>
      </x:c>
      <x:c r="C213" s="16" t="n">
        <x:v>188000</x:v>
      </x:c>
      <x:c r="D213" s="16" t="n">
        <x:v>1000</x:v>
      </x:c>
      <x:c r="E213" s="16" t="str">
        <x:v>sourced</x:v>
      </x:c>
      <x:c r="F213" s="22" t="str">
        <x:v>After-tax Net Profit (Loss)</x:v>
      </x:c>
      <x:c r="G213" s="22" t="str">
        <x:v>/Users/yuntzuyu/Downloads/e-loan/Quarter/E-Loan YQYQ-Nexstar Q2.xls#Report1!I117; label=A117; dates=I6,I76; unit=O4</x:v>
      </x:c>
    </x:row>
    <x:row r="214">
      <x:c r="A214" s="16" t="str">
        <x:v>Quarter_Q2/net_income/prior_interim</x:v>
      </x:c>
      <x:c r="B214" s="19" t="n">
        <x:f>IF(AND(ISNUMBER(B213),ISNUMBER(B181)),IF(B181=0,"無法計算",B213/B181),"缺少資料")</x:f>
        <x:v>0.07636068237205523</x:v>
      </x:c>
      <x:c r="C214" s="16"/>
      <x:c r="D214" s="16"/>
      <x:c r="E214" s="16" t="str">
        <x:v>calculated</x:v>
      </x:c>
      <x:c r="F214" s="22" t="str">
        <x:v>net_income / revenue</x:v>
      </x:c>
      <x:c r="G214" s="22" t="str"/>
    </x:row>
    <x:row r="215">
      <x:c r="A215" s="16" t="str">
        <x:v>Quarter_Q2/net_income/current_interim</x:v>
      </x:c>
      <x:c r="B215" s="18" t="n">
        <x:f>IF(AND(ISNUMBER(C215),ISNUMBER(D215)),C215*D215/1000000,"缺少資料")</x:f>
        <x:v>273</x:v>
      </x:c>
      <x:c r="C215" s="16" t="n">
        <x:v>273000</x:v>
      </x:c>
      <x:c r="D215" s="16" t="n">
        <x:v>1000</x:v>
      </x:c>
      <x:c r="E215" s="16" t="str">
        <x:v>sourced</x:v>
      </x:c>
      <x:c r="F215" s="22" t="str">
        <x:v>After-tax Net Profit (Loss)</x:v>
      </x:c>
      <x:c r="G215" s="22" t="str">
        <x:v>/Users/yuntzuyu/Downloads/e-loan/Quarter/E-Loan YQYQ-Nexstar Q2.xls#Report1!R117; label=A117; dates=R6,R76; unit=O4</x:v>
      </x:c>
    </x:row>
    <x:row r="216">
      <x:c r="A216" s="16" t="str">
        <x:v>Quarter_Q2/net_income/current_interim</x:v>
      </x:c>
      <x:c r="B216" s="19" t="n">
        <x:f>IF(AND(ISNUMBER(B215),ISNUMBER(B183)),IF(B183=0,"無法計算",B215/B183),"缺少資料")</x:f>
        <x:v>0.08055473591029802</x:v>
      </x:c>
      <x:c r="C216" s="16"/>
      <x:c r="D216" s="16"/>
      <x:c r="E216" s="16" t="str">
        <x:v>calculated</x:v>
      </x:c>
      <x:c r="F216" s="22" t="str">
        <x:v>net_income / revenue</x:v>
      </x:c>
      <x:c r="G216" s="22" t="str"/>
    </x:row>
    <x:row r="217">
      <x:c r="A217" s="16" t="str">
        <x:v>Quarter_Q2/current_ratio/earlier_fy_end</x:v>
      </x:c>
      <x:c r="B217" s="19" t="n">
        <x:f>IF(AND(ISNUMBER(B245),ISNUMBER(B246)),IF(B246=0,"無法計算",B245/B246),"缺少資料")</x:f>
        <x:v>1.656449553001277</x:v>
      </x:c>
      <x:c r="C217" s="16"/>
      <x:c r="D217" s="16"/>
      <x:c r="E217" s="16" t="str">
        <x:v>calculated</x:v>
      </x:c>
      <x:c r="F217" s="22" t="str">
        <x:v>Current Assets / Current Liabilities</x:v>
      </x:c>
      <x:c r="G217" s="22" t="str"/>
    </x:row>
    <x:row r="218">
      <x:c r="A218" s="16" t="str">
        <x:v>Quarter_Q2/current_ratio/prior_interim</x:v>
      </x:c>
      <x:c r="B218" s="19" t="n">
        <x:f>IF(AND(ISNUMBER(B252),ISNUMBER(B253)),IF(B253=0,"無法計算",B252/B253),"缺少資料")</x:f>
        <x:v>1.6889428918590523</x:v>
      </x:c>
      <x:c r="C218" s="16"/>
      <x:c r="D218" s="16"/>
      <x:c r="E218" s="16" t="str">
        <x:v>calculated</x:v>
      </x:c>
      <x:c r="F218" s="22" t="str">
        <x:v>Current Assets / Current Liabilities</x:v>
      </x:c>
      <x:c r="G218" s="22" t="str"/>
    </x:row>
    <x:row r="219">
      <x:c r="A219" s="16" t="str">
        <x:v>Quarter_Q2/current_ratio/latest_fy_end</x:v>
      </x:c>
      <x:c r="B219" s="19" t="n">
        <x:f>IF(AND(ISNUMBER(B259),ISNUMBER(B260)),IF(B260=0,"無法計算",B259/B260),"缺少資料")</x:f>
        <x:v>2.071729957805907</x:v>
      </x:c>
      <x:c r="C219" s="16"/>
      <x:c r="D219" s="16"/>
      <x:c r="E219" s="16" t="str">
        <x:v>calculated</x:v>
      </x:c>
      <x:c r="F219" s="22" t="str">
        <x:v>Current Assets / Current Liabilities</x:v>
      </x:c>
      <x:c r="G219" s="22" t="str"/>
    </x:row>
    <x:row r="220">
      <x:c r="A220" s="16" t="str">
        <x:v>Quarter_Q2/current_ratio/current_interim</x:v>
      </x:c>
      <x:c r="B220" s="19" t="n">
        <x:f>IF(AND(ISNUMBER(B266),ISNUMBER(B267)),IF(B267=0,"無法計算",B266/B267),"缺少資料")</x:f>
        <x:v>1.5615264797507789</x:v>
      </x:c>
      <x:c r="C220" s="16"/>
      <x:c r="D220" s="16"/>
      <x:c r="E220" s="16" t="str">
        <x:v>calculated</x:v>
      </x:c>
      <x:c r="F220" s="22" t="str">
        <x:v>Current Assets / Current Liabilities</x:v>
      </x:c>
      <x:c r="G220" s="22" t="str"/>
    </x:row>
    <x:row r="221">
      <x:c r="A221" s="16" t="str">
        <x:v>Quarter_Q2/quick_ratio/earlier_fy_end</x:v>
      </x:c>
      <x:c r="B221" s="19" t="str">
        <x:v>無法計算／待確認</x:v>
      </x:c>
      <x:c r="C221" s="16"/>
      <x:c r="D221" s="16"/>
      <x:c r="E221" s="16" t="str">
        <x:v>無法計算／待確認</x:v>
      </x:c>
      <x:c r="F221" s="22" t="str">
        <x:v>Required inputs unavailable</x:v>
      </x:c>
      <x:c r="G221" s="22" t="str"/>
    </x:row>
    <x:row r="222">
      <x:c r="A222" s="16" t="str">
        <x:v>Quarter_Q2/quick_ratio/prior_interim</x:v>
      </x:c>
      <x:c r="B222" s="19" t="str">
        <x:v>無法計算／待確認</x:v>
      </x:c>
      <x:c r="C222" s="16"/>
      <x:c r="D222" s="16"/>
      <x:c r="E222" s="16" t="str">
        <x:v>無法計算／待確認</x:v>
      </x:c>
      <x:c r="F222" s="22" t="str">
        <x:v>Required inputs unavailable</x:v>
      </x:c>
      <x:c r="G222" s="22" t="str"/>
    </x:row>
    <x:row r="223">
      <x:c r="A223" s="16" t="str">
        <x:v>Quarter_Q2/quick_ratio/latest_fy_end</x:v>
      </x:c>
      <x:c r="B223" s="19" t="str">
        <x:v>無法計算／待確認</x:v>
      </x:c>
      <x:c r="C223" s="16"/>
      <x:c r="D223" s="16"/>
      <x:c r="E223" s="16" t="str">
        <x:v>無法計算／待確認</x:v>
      </x:c>
      <x:c r="F223" s="22" t="str">
        <x:v>Required inputs unavailable</x:v>
      </x:c>
      <x:c r="G223" s="22" t="str"/>
    </x:row>
    <x:row r="224">
      <x:c r="A224" s="16" t="str">
        <x:v>Quarter_Q2/quick_ratio/current_interim</x:v>
      </x:c>
      <x:c r="B224" s="19" t="str">
        <x:v>無法計算／待確認</x:v>
      </x:c>
      <x:c r="C224" s="16"/>
      <x:c r="D224" s="16"/>
      <x:c r="E224" s="16" t="str">
        <x:v>無法計算／待確認</x:v>
      </x:c>
      <x:c r="F224" s="22" t="str">
        <x:v>Required inputs unavailable</x:v>
      </x:c>
      <x:c r="G224" s="22" t="str"/>
    </x:row>
    <x:row r="225">
      <x:c r="A225" s="16" t="str">
        <x:v>Quarter_Q2/debt_ratio/earlier_fy_end</x:v>
      </x:c>
      <x:c r="B225" s="19" t="str">
        <x:v>無法計算／待確認</x:v>
      </x:c>
      <x:c r="C225" s="16"/>
      <x:c r="D225" s="16"/>
      <x:c r="E225" s="16" t="str">
        <x:v>無法計算／待確認</x:v>
      </x:c>
      <x:c r="F225" s="22" t="str">
        <x:v>Required inputs unavailable</x:v>
      </x:c>
      <x:c r="G225" s="22" t="str"/>
    </x:row>
    <x:row r="226">
      <x:c r="A226" s="16" t="str">
        <x:v>Quarter_Q2/debt_ratio/prior_interim</x:v>
      </x:c>
      <x:c r="B226" s="19" t="str">
        <x:v>無法計算／待確認</x:v>
      </x:c>
      <x:c r="C226" s="16"/>
      <x:c r="D226" s="16"/>
      <x:c r="E226" s="16" t="str">
        <x:v>無法計算／待確認</x:v>
      </x:c>
      <x:c r="F226" s="22" t="str">
        <x:v>Required inputs unavailable</x:v>
      </x:c>
      <x:c r="G226" s="22" t="str"/>
    </x:row>
    <x:row r="227">
      <x:c r="A227" s="16" t="str">
        <x:v>Quarter_Q2/debt_ratio/latest_fy_end</x:v>
      </x:c>
      <x:c r="B227" s="19" t="str">
        <x:v>無法計算／待確認</x:v>
      </x:c>
      <x:c r="C227" s="16"/>
      <x:c r="D227" s="16"/>
      <x:c r="E227" s="16" t="str">
        <x:v>無法計算／待確認</x:v>
      </x:c>
      <x:c r="F227" s="22" t="str">
        <x:v>Required inputs unavailable</x:v>
      </x:c>
      <x:c r="G227" s="22" t="str"/>
    </x:row>
    <x:row r="228">
      <x:c r="A228" s="16" t="str">
        <x:v>Quarter_Q2/debt_ratio/current_interim</x:v>
      </x:c>
      <x:c r="B228" s="19" t="str">
        <x:v>無法計算／待確認</x:v>
      </x:c>
      <x:c r="C228" s="16"/>
      <x:c r="D228" s="16"/>
      <x:c r="E228" s="16" t="str">
        <x:v>無法計算／待確認</x:v>
      </x:c>
      <x:c r="F228" s="22" t="str">
        <x:v>Required inputs unavailable</x:v>
      </x:c>
      <x:c r="G228" s="22" t="str"/>
    </x:row>
    <x:row r="229">
      <x:c r="A229" s="16" t="str">
        <x:v>Quarter_Q2/total_debt/earlier_fy_end</x:v>
      </x:c>
      <x:c r="B229" s="18" t="str">
        <x:v>缺少資料</x:v>
      </x:c>
      <x:c r="C229" s="16"/>
      <x:c r="D229" s="16"/>
      <x:c r="E229" s="16" t="str">
        <x:v>缺少資料</x:v>
      </x:c>
      <x:c r="F229" s="22" t="str">
        <x:v>既有底稿未提供可核實的來源科目／組成；不等於SEC未揭露</x:v>
      </x:c>
      <x:c r="G229" s="22" t="str"/>
    </x:row>
    <x:row r="230">
      <x:c r="A230" s="16" t="str">
        <x:v>Quarter_Q2/total_debt/prior_interim</x:v>
      </x:c>
      <x:c r="B230" s="18" t="str">
        <x:v>缺少資料</x:v>
      </x:c>
      <x:c r="C230" s="16"/>
      <x:c r="D230" s="16"/>
      <x:c r="E230" s="16" t="str">
        <x:v>缺少資料</x:v>
      </x:c>
      <x:c r="F230" s="22" t="str">
        <x:v>既有底稿未提供可核實的來源科目／組成；不等於SEC未揭露</x:v>
      </x:c>
      <x:c r="G230" s="22" t="str"/>
    </x:row>
    <x:row r="231">
      <x:c r="A231" s="16" t="str">
        <x:v>Quarter_Q2/total_debt/latest_fy_end</x:v>
      </x:c>
      <x:c r="B231" s="18" t="str">
        <x:v>缺少資料</x:v>
      </x:c>
      <x:c r="C231" s="16"/>
      <x:c r="D231" s="16"/>
      <x:c r="E231" s="16" t="str">
        <x:v>缺少資料</x:v>
      </x:c>
      <x:c r="F231" s="22" t="str">
        <x:v>既有底稿未提供可核實的來源科目／組成；不等於SEC未揭露</x:v>
      </x:c>
      <x:c r="G231" s="22" t="str"/>
    </x:row>
    <x:row r="232">
      <x:c r="A232" s="16" t="str">
        <x:v>Quarter_Q2/total_debt/current_interim</x:v>
      </x:c>
      <x:c r="B232" s="18" t="str">
        <x:v>缺少資料</x:v>
      </x:c>
      <x:c r="C232" s="16"/>
      <x:c r="D232" s="16"/>
      <x:c r="E232" s="16" t="str">
        <x:v>缺少資料</x:v>
      </x:c>
      <x:c r="F232" s="22" t="str">
        <x:v>既有底稿未提供可核實的來源科目／組成；不等於SEC未揭露</x:v>
      </x:c>
      <x:c r="G232" s="22" t="str"/>
    </x:row>
    <x:row r="233">
      <x:c r="A233" s="16" t="str">
        <x:v>Quarter_Q2/ltm_ebitda/earlier_fy_end</x:v>
      </x:c>
      <x:c r="B233" s="18" t="str">
        <x:v>無法計算／待確認</x:v>
      </x:c>
      <x:c r="C233" s="16"/>
      <x:c r="D233" s="16"/>
      <x:c r="E233" s="16" t="str">
        <x:v>無法計算／待確認</x:v>
      </x:c>
      <x:c r="F233" s="22" t="str">
        <x:v>Verified Standard EBITDA basis required</x:v>
      </x:c>
      <x:c r="G233" s="22" t="str"/>
    </x:row>
    <x:row r="234">
      <x:c r="A234" s="16" t="str">
        <x:v>Quarter_Q2/ltm_ebitda/prior_interim</x:v>
      </x:c>
      <x:c r="B234" s="18" t="str">
        <x:v>無法計算／待確認</x:v>
      </x:c>
      <x:c r="C234" s="16"/>
      <x:c r="D234" s="16"/>
      <x:c r="E234" s="16" t="str">
        <x:v>無法計算／待確認</x:v>
      </x:c>
      <x:c r="F234" s="22" t="str">
        <x:v>Verified Standard EBITDA basis required</x:v>
      </x:c>
      <x:c r="G234" s="22" t="str"/>
    </x:row>
    <x:row r="235">
      <x:c r="A235" s="16" t="str">
        <x:v>Quarter_Q2/ltm_ebitda/latest_fy_end</x:v>
      </x:c>
      <x:c r="B235" s="18" t="str">
        <x:v>無法計算／待確認</x:v>
      </x:c>
      <x:c r="C235" s="16"/>
      <x:c r="D235" s="16"/>
      <x:c r="E235" s="16" t="str">
        <x:v>無法計算／待確認</x:v>
      </x:c>
      <x:c r="F235" s="22" t="str">
        <x:v>Verified Standard EBITDA basis required</x:v>
      </x:c>
      <x:c r="G235" s="22" t="str"/>
    </x:row>
    <x:row r="236">
      <x:c r="A236" s="16" t="str">
        <x:v>Quarter_Q2/ltm_ebitda/current_interim</x:v>
      </x:c>
      <x:c r="B236" s="18" t="str">
        <x:v>無法計算／待確認</x:v>
      </x:c>
      <x:c r="C236" s="16"/>
      <x:c r="D236" s="16"/>
      <x:c r="E236" s="16" t="str">
        <x:v>無法計算／待確認</x:v>
      </x:c>
      <x:c r="F236" s="22" t="str">
        <x:v>Verified Standard EBITDA basis required</x:v>
      </x:c>
      <x:c r="G236" s="22" t="str"/>
    </x:row>
    <x:row r="237">
      <x:c r="A237" s="16" t="str">
        <x:v>Quarter_Q2/ebitda_basis/earlier_fy_end</x:v>
      </x:c>
      <x:c r="B237" s="18" t="str">
        <x:v>缺少資料</x:v>
      </x:c>
      <x:c r="C237" s="16"/>
      <x:c r="D237" s="16"/>
      <x:c r="E237" s="16" t="str">
        <x:v>缺少資料</x:v>
      </x:c>
      <x:c r="F237" s="22" t="str">
        <x:v>既有底稿未提供可核實的來源科目／組成；不等於SEC未揭露</x:v>
      </x:c>
      <x:c r="G237" s="22" t="str"/>
    </x:row>
    <x:row r="238">
      <x:c r="A238" s="16" t="str">
        <x:v>Quarter_Q2/ebitda_basis/prior_interim</x:v>
      </x:c>
      <x:c r="B238" s="18" t="str">
        <x:v>缺少資料</x:v>
      </x:c>
      <x:c r="C238" s="16"/>
      <x:c r="D238" s="16"/>
      <x:c r="E238" s="16" t="str">
        <x:v>缺少資料</x:v>
      </x:c>
      <x:c r="F238" s="22" t="str">
        <x:v>既有底稿未提供可核實的來源科目／組成；不等於SEC未揭露</x:v>
      </x:c>
      <x:c r="G238" s="22" t="str"/>
    </x:row>
    <x:row r="239">
      <x:c r="A239" s="16" t="str">
        <x:v>Quarter_Q2/ebitda_basis/latest_fy_end</x:v>
      </x:c>
      <x:c r="B239" s="18" t="str">
        <x:v>缺少資料</x:v>
      </x:c>
      <x:c r="C239" s="16"/>
      <x:c r="D239" s="16"/>
      <x:c r="E239" s="16" t="str">
        <x:v>缺少資料</x:v>
      </x:c>
      <x:c r="F239" s="22" t="str">
        <x:v>既有底稿未提供可核實的來源科目／組成；不等於SEC未揭露</x:v>
      </x:c>
      <x:c r="G239" s="22" t="str"/>
    </x:row>
    <x:row r="240">
      <x:c r="A240" s="16" t="str">
        <x:v>Quarter_Q2/ebitda_basis/current_interim</x:v>
      </x:c>
      <x:c r="B240" s="18" t="str">
        <x:v>缺少資料</x:v>
      </x:c>
      <x:c r="C240" s="16"/>
      <x:c r="D240" s="16"/>
      <x:c r="E240" s="16" t="str">
        <x:v>缺少資料</x:v>
      </x:c>
      <x:c r="F240" s="22" t="str">
        <x:v>既有底稿未提供可核實的來源科目／組成；不等於SEC未揭露</x:v>
      </x:c>
      <x:c r="G240" s="22" t="str"/>
    </x:row>
    <x:row r="241">
      <x:c r="A241" s="16" t="str">
        <x:v>Quarter_Q2/total_leverage/earlier_fy_end</x:v>
      </x:c>
      <x:c r="B241" s="20" t="str">
        <x:v>無法計算／待確認</x:v>
      </x:c>
      <x:c r="C241" s="16"/>
      <x:c r="D241" s="16"/>
      <x:c r="E241" s="16" t="str">
        <x:v>無法計算／待確認</x:v>
      </x:c>
      <x:c r="F241" s="22" t="str">
        <x:v>Required inputs unavailable</x:v>
      </x:c>
      <x:c r="G241" s="22" t="str"/>
    </x:row>
    <x:row r="242">
      <x:c r="A242" s="16" t="str">
        <x:v>Quarter_Q2/total_leverage/prior_interim</x:v>
      </x:c>
      <x:c r="B242" s="20" t="str">
        <x:v>無法計算／待確認</x:v>
      </x:c>
      <x:c r="C242" s="16"/>
      <x:c r="D242" s="16"/>
      <x:c r="E242" s="16" t="str">
        <x:v>無法計算／待確認</x:v>
      </x:c>
      <x:c r="F242" s="22" t="str">
        <x:v>Required inputs unavailable</x:v>
      </x:c>
      <x:c r="G242" s="22" t="str"/>
    </x:row>
    <x:row r="243">
      <x:c r="A243" s="16" t="str">
        <x:v>Quarter_Q2/total_leverage/latest_fy_end</x:v>
      </x:c>
      <x:c r="B243" s="20" t="str">
        <x:v>無法計算／待確認</x:v>
      </x:c>
      <x:c r="C243" s="16"/>
      <x:c r="D243" s="16"/>
      <x:c r="E243" s="16" t="str">
        <x:v>無法計算／待確認</x:v>
      </x:c>
      <x:c r="F243" s="22" t="str">
        <x:v>Required inputs unavailable</x:v>
      </x:c>
      <x:c r="G243" s="22" t="str"/>
    </x:row>
    <x:row r="244">
      <x:c r="A244" s="16" t="str">
        <x:v>Quarter_Q2/total_leverage/current_interim</x:v>
      </x:c>
      <x:c r="B244" s="20" t="str">
        <x:v>無法計算／待確認</x:v>
      </x:c>
      <x:c r="C244" s="16"/>
      <x:c r="D244" s="16"/>
      <x:c r="E244" s="16" t="str">
        <x:v>無法計算／待確認</x:v>
      </x:c>
      <x:c r="F244" s="22" t="str">
        <x:v>Required inputs unavailable</x:v>
      </x:c>
      <x:c r="G244" s="22" t="str"/>
    </x:row>
    <x:row r="245">
      <x:c r="A245" s="16" t="str">
        <x:v>Quarter_Q2/current_assets/earlier_fy_end</x:v>
      </x:c>
      <x:c r="B245" s="18" t="n">
        <x:f>IF(AND(ISNUMBER(C245),ISNUMBER(D245)),C245*D245/1000000,"缺少資料")</x:f>
        <x:v>1297</x:v>
      </x:c>
      <x:c r="C245" s="16" t="n">
        <x:v>1297000</x:v>
      </x:c>
      <x:c r="D245" s="16" t="n">
        <x:v>1000</x:v>
      </x:c>
      <x:c r="E245" s="16" t="str">
        <x:v>sourced</x:v>
      </x:c>
      <x:c r="F245" s="22" t="str">
        <x:v>Current Assets</x:v>
      </x:c>
      <x:c r="G245" s="22" t="str">
        <x:v>/Users/yuntzuyu/Downloads/e-loan/Quarter/E-Loan YQYQ-Nexstar Q2.xls#Report1!D10; label=A10; dates=D6,D76; unit=O4</x:v>
      </x:c>
    </x:row>
    <x:row r="246">
      <x:c r="A246" s="16" t="str">
        <x:v>Quarter_Q2/current_liabilities/earlier_fy_end</x:v>
      </x:c>
      <x:c r="B246" s="18" t="n">
        <x:f>IF(AND(ISNUMBER(C246),ISNUMBER(D246)),C246*D246/1000000,"缺少資料")</x:f>
        <x:v>783</x:v>
      </x:c>
      <x:c r="C246" s="16" t="n">
        <x:v>783000</x:v>
      </x:c>
      <x:c r="D246" s="16" t="n">
        <x:v>1000</x:v>
      </x:c>
      <x:c r="E246" s="16" t="str">
        <x:v>sourced</x:v>
      </x:c>
      <x:c r="F246" s="22" t="str">
        <x:v>Current Liabilities</x:v>
      </x:c>
      <x:c r="G246" s="22" t="str">
        <x:v>/Users/yuntzuyu/Downloads/e-loan/Quarter/E-Loan YQYQ-Nexstar Q2.xls#Report1!D40; label=A40; dates=D6,D76; unit=O4</x:v>
      </x:c>
    </x:row>
    <x:row r="247">
      <x:c r="A247" s="16" t="str">
        <x:v>Quarter_Q2/total_liabilities/earlier_fy_end</x:v>
      </x:c>
      <x:c r="B247" s="18" t="n">
        <x:f>IF(AND(ISNUMBER(C247),ISNUMBER(D247)),C247*D247/1000000,"缺少資料")</x:f>
        <x:v>9200</x:v>
      </x:c>
      <x:c r="C247" s="16" t="n">
        <x:v>9200000</x:v>
      </x:c>
      <x:c r="D247" s="16" t="n">
        <x:v>1000</x:v>
      </x:c>
      <x:c r="E247" s="16" t="str">
        <x:v>sourced</x:v>
      </x:c>
      <x:c r="F247" s="22" t="str">
        <x:v>Total Liabilities</x:v>
      </x:c>
      <x:c r="G247" s="22" t="str">
        <x:v>/Users/yuntzuyu/Downloads/e-loan/Quarter/E-Loan YQYQ-Nexstar Q2.xls#Report1!D62; label=A62; dates=D6,D76; unit=O4</x:v>
      </x:c>
    </x:row>
    <x:row r="248">
      <x:c r="A248" s="16" t="str">
        <x:v>Quarter_Q2/quick_assets/earlier_fy_end</x:v>
      </x:c>
      <x:c r="B248" s="18" t="str">
        <x:v>缺少資料</x:v>
      </x:c>
      <x:c r="C248" s="16"/>
      <x:c r="D248" s="16"/>
      <x:c r="E248" s="16" t="str">
        <x:v>缺少資料</x:v>
      </x:c>
      <x:c r="F248" s="22" t="str">
        <x:v>既有底稿未提供可核實的來源科目／組成；不等於SEC未揭露</x:v>
      </x:c>
      <x:c r="G248" s="22" t="str"/>
    </x:row>
    <x:row r="249">
      <x:c r="A249" s="16" t="str">
        <x:v>Quarter_Q2/net_worth/earlier_fy_end</x:v>
      </x:c>
      <x:c r="B249" s="18" t="str">
        <x:v>無法計算／待確認</x:v>
      </x:c>
      <x:c r="C249" s="16"/>
      <x:c r="D249" s="16"/>
      <x:c r="E249" s="16" t="str">
        <x:v>無法計算／待確認</x:v>
      </x:c>
      <x:c r="F249" s="22" t="str">
        <x:v>Approved policy; company-specific source definition not yet verified; candidate retained</x:v>
      </x:c>
      <x:c r="G249" s="22" t="str">
        <x:v>/Users/yuntzuyu/Downloads/e-loan/Quarter/E-Loan YQYQ-Nexstar Q2.xls#Report1!D70; label=A70; dates=D6,D76; unit=O4</x:v>
      </x:c>
    </x:row>
    <x:row r="250">
      <x:c r="A250" s="16" t="str">
        <x:v>Quarter_Q2/capitalized_interest/earlier_fy_end</x:v>
      </x:c>
      <x:c r="B250" s="18" t="str">
        <x:v>缺少資料</x:v>
      </x:c>
      <x:c r="C250" s="16"/>
      <x:c r="D250" s="16"/>
      <x:c r="E250" s="16" t="str">
        <x:v>缺少資料</x:v>
      </x:c>
      <x:c r="F250" s="22" t="str">
        <x:v>原始儲存格空白／無可用數值</x:v>
      </x:c>
      <x:c r="G250" s="22" t="str">
        <x:v>/Users/yuntzuyu/Downloads/e-loan/Quarter/E-Loan YQYQ-Nexstar Q2.xls#Report1!D120; label=A120; dates=D6,D76; unit=O4</x:v>
      </x:c>
    </x:row>
    <x:row r="251">
      <x:c r="A251" s="16" t="str">
        <x:v>Quarter_Q2/da/earlier_fy_end</x:v>
      </x:c>
      <x:c r="B251" s="18" t="n">
        <x:f>IF(AND(ISNUMBER(C251),ISNUMBER(D251)),C251*D251/1000000,"缺少資料")</x:f>
        <x:v>808</x:v>
      </x:c>
      <x:c r="C251" s="16" t="n">
        <x:v>808000</x:v>
      </x:c>
      <x:c r="D251" s="16" t="n">
        <x:v>1000</x:v>
      </x:c>
      <x:c r="E251" s="16" t="str">
        <x:v>sourced</x:v>
      </x:c>
      <x:c r="F251" s="22" t="str">
        <x:v>Depreciation &amp; Amortization</x:v>
      </x:c>
      <x:c r="G251" s="22" t="str">
        <x:v>/Users/yuntzuyu/Downloads/e-loan/Quarter/E-Loan YQYQ-Nexstar Q2.xls#Report1!D121; label=A121; dates=D6,D76; unit=O4</x:v>
      </x:c>
    </x:row>
    <x:row r="252">
      <x:c r="A252" s="16" t="str">
        <x:v>Quarter_Q2/current_assets/prior_interim</x:v>
      </x:c>
      <x:c r="B252" s="18" t="n">
        <x:f>IF(AND(ISNUMBER(C252),ISNUMBER(D252)),C252*D252/1000000,"缺少資料")</x:f>
        <x:v>1390</x:v>
      </x:c>
      <x:c r="C252" s="16" t="n">
        <x:v>1390000</x:v>
      </x:c>
      <x:c r="D252" s="16" t="n">
        <x:v>1000</x:v>
      </x:c>
      <x:c r="E252" s="16" t="str">
        <x:v>sourced</x:v>
      </x:c>
      <x:c r="F252" s="22" t="str">
        <x:v>Current Assets</x:v>
      </x:c>
      <x:c r="G252" s="22" t="str">
        <x:v>/Users/yuntzuyu/Downloads/e-loan/Quarter/E-Loan YQYQ-Nexstar Q2.xls#Report1!I10; label=A10; dates=I6,I76; unit=O4</x:v>
      </x:c>
    </x:row>
    <x:row r="253">
      <x:c r="A253" s="16" t="str">
        <x:v>Quarter_Q2/current_liabilities/prior_interim</x:v>
      </x:c>
      <x:c r="B253" s="18" t="n">
        <x:f>IF(AND(ISNUMBER(C253),ISNUMBER(D253)),C253*D253/1000000,"缺少資料")</x:f>
        <x:v>823</x:v>
      </x:c>
      <x:c r="C253" s="16" t="n">
        <x:v>823000</x:v>
      </x:c>
      <x:c r="D253" s="16" t="n">
        <x:v>1000</x:v>
      </x:c>
      <x:c r="E253" s="16" t="str">
        <x:v>sourced</x:v>
      </x:c>
      <x:c r="F253" s="22" t="str">
        <x:v>Current Liabilities</x:v>
      </x:c>
      <x:c r="G253" s="22" t="str">
        <x:v>/Users/yuntzuyu/Downloads/e-loan/Quarter/E-Loan YQYQ-Nexstar Q2.xls#Report1!I40; label=A40; dates=I6,I76; unit=O4</x:v>
      </x:c>
    </x:row>
    <x:row r="254">
      <x:c r="A254" s="16" t="str">
        <x:v>Quarter_Q2/total_liabilities/prior_interim</x:v>
      </x:c>
      <x:c r="B254" s="18" t="n">
        <x:f>IF(AND(ISNUMBER(C254),ISNUMBER(D254)),C254*D254/1000000,"缺少資料")</x:f>
        <x:v>9072</x:v>
      </x:c>
      <x:c r="C254" s="16" t="n">
        <x:v>9072000</x:v>
      </x:c>
      <x:c r="D254" s="16" t="n">
        <x:v>1000</x:v>
      </x:c>
      <x:c r="E254" s="16" t="str">
        <x:v>sourced</x:v>
      </x:c>
      <x:c r="F254" s="22" t="str">
        <x:v>Total Liabilities</x:v>
      </x:c>
      <x:c r="G254" s="22" t="str">
        <x:v>/Users/yuntzuyu/Downloads/e-loan/Quarter/E-Loan YQYQ-Nexstar Q2.xls#Report1!I62; label=A62; dates=I6,I76; unit=O4</x:v>
      </x:c>
    </x:row>
    <x:row r="255">
      <x:c r="A255" s="16" t="str">
        <x:v>Quarter_Q2/quick_assets/prior_interim</x:v>
      </x:c>
      <x:c r="B255" s="18" t="str">
        <x:v>缺少資料</x:v>
      </x:c>
      <x:c r="C255" s="16"/>
      <x:c r="D255" s="16"/>
      <x:c r="E255" s="16" t="str">
        <x:v>缺少資料</x:v>
      </x:c>
      <x:c r="F255" s="22" t="str">
        <x:v>既有底稿未提供可核實的來源科目／組成；不等於SEC未揭露</x:v>
      </x:c>
      <x:c r="G255" s="22" t="str"/>
    </x:row>
    <x:row r="256">
      <x:c r="A256" s="16" t="str">
        <x:v>Quarter_Q2/net_worth/prior_interim</x:v>
      </x:c>
      <x:c r="B256" s="18" t="str">
        <x:v>無法計算／待確認</x:v>
      </x:c>
      <x:c r="C256" s="16"/>
      <x:c r="D256" s="16"/>
      <x:c r="E256" s="16" t="str">
        <x:v>無法計算／待確認</x:v>
      </x:c>
      <x:c r="F256" s="22" t="str">
        <x:v>Approved policy; company-specific source definition not yet verified; candidate retained</x:v>
      </x:c>
      <x:c r="G256" s="22" t="str">
        <x:v>/Users/yuntzuyu/Downloads/e-loan/Quarter/E-Loan YQYQ-Nexstar Q2.xls#Report1!I70; label=A70; dates=I6,I76; unit=O4</x:v>
      </x:c>
    </x:row>
    <x:row r="257">
      <x:c r="A257" s="16" t="str">
        <x:v>Quarter_Q2/capitalized_interest/prior_interim</x:v>
      </x:c>
      <x:c r="B257" s="18" t="str">
        <x:v>缺少資料</x:v>
      </x:c>
      <x:c r="C257" s="16"/>
      <x:c r="D257" s="16"/>
      <x:c r="E257" s="16" t="str">
        <x:v>缺少資料</x:v>
      </x:c>
      <x:c r="F257" s="22" t="str">
        <x:v>原始儲存格空白／無可用數值</x:v>
      </x:c>
      <x:c r="G257" s="22" t="str">
        <x:v>/Users/yuntzuyu/Downloads/e-loan/Quarter/E-Loan YQYQ-Nexstar Q2.xls#Report1!I120; label=A120; dates=I6,I76; unit=O4</x:v>
      </x:c>
    </x:row>
    <x:row r="258">
      <x:c r="A258" s="16" t="str">
        <x:v>Quarter_Q2/da/prior_interim</x:v>
      </x:c>
      <x:c r="B258" s="18" t="n">
        <x:f>IF(AND(ISNUMBER(C258),ISNUMBER(D258)),C258*D258/1000000,"缺少資料")</x:f>
        <x:v>402</x:v>
      </x:c>
      <x:c r="C258" s="16" t="n">
        <x:v>402000</x:v>
      </x:c>
      <x:c r="D258" s="16" t="n">
        <x:v>1000</x:v>
      </x:c>
      <x:c r="E258" s="16" t="str">
        <x:v>sourced</x:v>
      </x:c>
      <x:c r="F258" s="22" t="str">
        <x:v>Depreciation &amp; Amortization</x:v>
      </x:c>
      <x:c r="G258" s="22" t="str">
        <x:v>/Users/yuntzuyu/Downloads/e-loan/Quarter/E-Loan YQYQ-Nexstar Q2.xls#Report1!I121; label=A121; dates=I6,I76; unit=O4</x:v>
      </x:c>
    </x:row>
    <x:row r="259">
      <x:c r="A259" s="16" t="str">
        <x:v>Quarter_Q2/current_assets/latest_fy_end</x:v>
      </x:c>
      <x:c r="B259" s="18" t="n">
        <x:f>IF(AND(ISNUMBER(C259),ISNUMBER(D259)),C259*D259/1000000,"缺少資料")</x:f>
        <x:v>1473</x:v>
      </x:c>
      <x:c r="C259" s="16" t="n">
        <x:v>1473000</x:v>
      </x:c>
      <x:c r="D259" s="16" t="n">
        <x:v>1000</x:v>
      </x:c>
      <x:c r="E259" s="16" t="str">
        <x:v>sourced</x:v>
      </x:c>
      <x:c r="F259" s="22" t="str">
        <x:v>Current Assets</x:v>
      </x:c>
      <x:c r="G259" s="22" t="str">
        <x:v>/Users/yuntzuyu/Downloads/e-loan/Quarter/E-Loan YQYQ-Nexstar Q2.xls#Report1!M10; label=A10; dates=M6,M76; unit=O4</x:v>
      </x:c>
    </x:row>
    <x:row r="260">
      <x:c r="A260" s="16" t="str">
        <x:v>Quarter_Q2/current_liabilities/latest_fy_end</x:v>
      </x:c>
      <x:c r="B260" s="18" t="n">
        <x:f>IF(AND(ISNUMBER(C260),ISNUMBER(D260)),C260*D260/1000000,"缺少資料")</x:f>
        <x:v>711</x:v>
      </x:c>
      <x:c r="C260" s="16" t="n">
        <x:v>711000</x:v>
      </x:c>
      <x:c r="D260" s="16" t="n">
        <x:v>1000</x:v>
      </x:c>
      <x:c r="E260" s="16" t="str">
        <x:v>sourced</x:v>
      </x:c>
      <x:c r="F260" s="22" t="str">
        <x:v>Current Liabilities</x:v>
      </x:c>
      <x:c r="G260" s="22" t="str">
        <x:v>/Users/yuntzuyu/Downloads/e-loan/Quarter/E-Loan YQYQ-Nexstar Q2.xls#Report1!M40; label=A40; dates=M6,M76; unit=O4</x:v>
      </x:c>
    </x:row>
    <x:row r="261">
      <x:c r="A261" s="16" t="str">
        <x:v>Quarter_Q2/total_liabilities/latest_fy_end</x:v>
      </x:c>
      <x:c r="B261" s="18" t="n">
        <x:f>IF(AND(ISNUMBER(C261),ISNUMBER(D261)),C261*D261/1000000,"缺少資料")</x:f>
        <x:v>8784</x:v>
      </x:c>
      <x:c r="C261" s="16" t="n">
        <x:v>8784000</x:v>
      </x:c>
      <x:c r="D261" s="16" t="n">
        <x:v>1000</x:v>
      </x:c>
      <x:c r="E261" s="16" t="str">
        <x:v>sourced</x:v>
      </x:c>
      <x:c r="F261" s="22" t="str">
        <x:v>Total Liabilities</x:v>
      </x:c>
      <x:c r="G261" s="22" t="str">
        <x:v>/Users/yuntzuyu/Downloads/e-loan/Quarter/E-Loan YQYQ-Nexstar Q2.xls#Report1!M62; label=A62; dates=M6,M76; unit=O4</x:v>
      </x:c>
    </x:row>
    <x:row r="262">
      <x:c r="A262" s="16" t="str">
        <x:v>Quarter_Q2/quick_assets/latest_fy_end</x:v>
      </x:c>
      <x:c r="B262" s="18" t="str">
        <x:v>缺少資料</x:v>
      </x:c>
      <x:c r="C262" s="16"/>
      <x:c r="D262" s="16"/>
      <x:c r="E262" s="16" t="str">
        <x:v>缺少資料</x:v>
      </x:c>
      <x:c r="F262" s="22" t="str">
        <x:v>既有底稿未提供可核實的來源科目／組成；不等於SEC未揭露</x:v>
      </x:c>
      <x:c r="G262" s="22" t="str"/>
    </x:row>
    <x:row r="263">
      <x:c r="A263" s="16" t="str">
        <x:v>Quarter_Q2/net_worth/latest_fy_end</x:v>
      </x:c>
      <x:c r="B263" s="18" t="str">
        <x:v>無法計算／待確認</x:v>
      </x:c>
      <x:c r="C263" s="16"/>
      <x:c r="D263" s="16"/>
      <x:c r="E263" s="16" t="str">
        <x:v>無法計算／待確認</x:v>
      </x:c>
      <x:c r="F263" s="22" t="str">
        <x:v>Approved policy; company-specific source definition not yet verified; candidate retained</x:v>
      </x:c>
      <x:c r="G263" s="22" t="str">
        <x:v>/Users/yuntzuyu/Downloads/e-loan/Quarter/E-Loan YQYQ-Nexstar Q2.xls#Report1!M70; label=A70; dates=M6,M76; unit=O4</x:v>
      </x:c>
    </x:row>
    <x:row r="264">
      <x:c r="A264" s="16" t="str">
        <x:v>Quarter_Q2/capitalized_interest/latest_fy_end</x:v>
      </x:c>
      <x:c r="B264" s="18" t="str">
        <x:v>缺少資料</x:v>
      </x:c>
      <x:c r="C264" s="16"/>
      <x:c r="D264" s="16"/>
      <x:c r="E264" s="16" t="str">
        <x:v>缺少資料</x:v>
      </x:c>
      <x:c r="F264" s="22" t="str">
        <x:v>原始儲存格空白／無可用數值</x:v>
      </x:c>
      <x:c r="G264" s="22" t="str">
        <x:v>/Users/yuntzuyu/Downloads/e-loan/Quarter/E-Loan YQYQ-Nexstar Q2.xls#Report1!M120; label=A120; dates=M6,M76; unit=O4</x:v>
      </x:c>
    </x:row>
    <x:row r="265">
      <x:c r="A265" s="16" t="str">
        <x:v>Quarter_Q2/da/latest_fy_end</x:v>
      </x:c>
      <x:c r="B265" s="18" t="n">
        <x:f>IF(AND(ISNUMBER(C265),ISNUMBER(D265)),C265*D265/1000000,"缺少資料")</x:f>
        <x:v>785</x:v>
      </x:c>
      <x:c r="C265" s="16" t="n">
        <x:v>785000</x:v>
      </x:c>
      <x:c r="D265" s="16" t="n">
        <x:v>1000</x:v>
      </x:c>
      <x:c r="E265" s="16" t="str">
        <x:v>sourced</x:v>
      </x:c>
      <x:c r="F265" s="22" t="str">
        <x:v>Depreciation &amp; Amortization</x:v>
      </x:c>
      <x:c r="G265" s="22" t="str">
        <x:v>/Users/yuntzuyu/Downloads/e-loan/Quarter/E-Loan YQYQ-Nexstar Q2.xls#Report1!M121; label=A121; dates=M6,M76; unit=O4</x:v>
      </x:c>
    </x:row>
    <x:row r="266">
      <x:c r="A266" s="16" t="str">
        <x:v>Quarter_Q2/current_assets/current_interim</x:v>
      </x:c>
      <x:c r="B266" s="18" t="n">
        <x:f>IF(AND(ISNUMBER(C266),ISNUMBER(D266)),C266*D266/1000000,"缺少資料")</x:f>
        <x:v>2005</x:v>
      </x:c>
      <x:c r="C266" s="16" t="n">
        <x:v>2005000</x:v>
      </x:c>
      <x:c r="D266" s="16" t="n">
        <x:v>1000</x:v>
      </x:c>
      <x:c r="E266" s="16" t="str">
        <x:v>sourced</x:v>
      </x:c>
      <x:c r="F266" s="22" t="str">
        <x:v>Current Assets</x:v>
      </x:c>
      <x:c r="G266" s="22" t="str">
        <x:v>/Users/yuntzuyu/Downloads/e-loan/Quarter/E-Loan YQYQ-Nexstar Q2.xls#Report1!R10; label=A10; dates=R6,R76; unit=O4</x:v>
      </x:c>
    </x:row>
    <x:row r="267">
      <x:c r="A267" s="16" t="str">
        <x:v>Quarter_Q2/current_liabilities/current_interim</x:v>
      </x:c>
      <x:c r="B267" s="18" t="n">
        <x:f>IF(AND(ISNUMBER(C267),ISNUMBER(D267)),C267*D267/1000000,"缺少資料")</x:f>
        <x:v>1284</x:v>
      </x:c>
      <x:c r="C267" s="16" t="n">
        <x:v>1284000</x:v>
      </x:c>
      <x:c r="D267" s="16" t="n">
        <x:v>1000</x:v>
      </x:c>
      <x:c r="E267" s="16" t="str">
        <x:v>sourced</x:v>
      </x:c>
      <x:c r="F267" s="22" t="str">
        <x:v>Current Liabilities</x:v>
      </x:c>
      <x:c r="G267" s="22" t="str">
        <x:v>/Users/yuntzuyu/Downloads/e-loan/Quarter/E-Loan YQYQ-Nexstar Q2.xls#Report1!R40; label=A40; dates=R6,R76; unit=O4</x:v>
      </x:c>
    </x:row>
    <x:row r="268">
      <x:c r="A268" s="16" t="str">
        <x:v>Quarter_Q2/total_liabilities/current_interim</x:v>
      </x:c>
      <x:c r="B268" s="18" t="n">
        <x:f>IF(AND(ISNUMBER(C268),ISNUMBER(D268)),C268*D268/1000000,"缺少資料")</x:f>
        <x:v>15451</x:v>
      </x:c>
      <x:c r="C268" s="16" t="n">
        <x:v>15451000</x:v>
      </x:c>
      <x:c r="D268" s="16" t="n">
        <x:v>1000</x:v>
      </x:c>
      <x:c r="E268" s="16" t="str">
        <x:v>sourced</x:v>
      </x:c>
      <x:c r="F268" s="22" t="str">
        <x:v>Total Liabilities</x:v>
      </x:c>
      <x:c r="G268" s="22" t="str">
        <x:v>/Users/yuntzuyu/Downloads/e-loan/Quarter/E-Loan YQYQ-Nexstar Q2.xls#Report1!R62; label=A62; dates=R6,R76; unit=O4</x:v>
      </x:c>
    </x:row>
    <x:row r="269">
      <x:c r="A269" s="16" t="str">
        <x:v>Quarter_Q2/quick_assets/current_interim</x:v>
      </x:c>
      <x:c r="B269" s="18" t="str">
        <x:v>缺少資料</x:v>
      </x:c>
      <x:c r="C269" s="16"/>
      <x:c r="D269" s="16"/>
      <x:c r="E269" s="16" t="str">
        <x:v>缺少資料</x:v>
      </x:c>
      <x:c r="F269" s="22" t="str">
        <x:v>既有底稿未提供可核實的來源科目／組成；不等於SEC未揭露</x:v>
      </x:c>
      <x:c r="G269" s="22" t="str"/>
    </x:row>
    <x:row r="270">
      <x:c r="A270" s="16" t="str">
        <x:v>Quarter_Q2/net_worth/current_interim</x:v>
      </x:c>
      <x:c r="B270" s="18" t="str">
        <x:v>無法計算／待確認</x:v>
      </x:c>
      <x:c r="C270" s="16"/>
      <x:c r="D270" s="16"/>
      <x:c r="E270" s="16" t="str">
        <x:v>無法計算／待確認</x:v>
      </x:c>
      <x:c r="F270" s="22" t="str">
        <x:v>Approved policy; company-specific source definition not yet verified; candidate retained</x:v>
      </x:c>
      <x:c r="G270" s="22" t="str">
        <x:v>/Users/yuntzuyu/Downloads/e-loan/Quarter/E-Loan YQYQ-Nexstar Q2.xls#Report1!R70; label=A70; dates=R6,R76; unit=O4</x:v>
      </x:c>
    </x:row>
    <x:row r="271">
      <x:c r="A271" s="16" t="str">
        <x:v>Quarter_Q2/capitalized_interest/current_interim</x:v>
      </x:c>
      <x:c r="B271" s="18" t="str">
        <x:v>缺少資料</x:v>
      </x:c>
      <x:c r="C271" s="16"/>
      <x:c r="D271" s="16"/>
      <x:c r="E271" s="16" t="str">
        <x:v>缺少資料</x:v>
      </x:c>
      <x:c r="F271" s="22" t="str">
        <x:v>原始儲存格空白／無可用數值</x:v>
      </x:c>
      <x:c r="G271" s="22" t="str">
        <x:v>/Users/yuntzuyu/Downloads/e-loan/Quarter/E-Loan YQYQ-Nexstar Q2.xls#Report1!R120; label=A120; dates=R6,R76; unit=O4</x:v>
      </x:c>
    </x:row>
    <x:row r="272">
      <x:c r="A272" s="16" t="str">
        <x:v>Quarter_Q2/da/current_interim</x:v>
      </x:c>
      <x:c r="B272" s="18" t="n">
        <x:f>IF(AND(ISNUMBER(C272),ISNUMBER(D272)),C272*D272/1000000,"缺少資料")</x:f>
        <x:v>438</x:v>
      </x:c>
      <x:c r="C272" s="16" t="n">
        <x:v>438000</x:v>
      </x:c>
      <x:c r="D272" s="16" t="n">
        <x:v>1000</x:v>
      </x:c>
      <x:c r="E272" s="16" t="str">
        <x:v>sourced</x:v>
      </x:c>
      <x:c r="F272" s="22" t="str">
        <x:v>Depreciation &amp; Amortization</x:v>
      </x:c>
      <x:c r="G272" s="22" t="str">
        <x:v>/Users/yuntzuyu/Downloads/e-loan/Quarter/E-Loan YQYQ-Nexstar Q2.xls#Report1!R121; label=A121; dates=R6,R76; unit=O4</x:v>
      </x:c>
    </x:row>
    <x:row r="273">
      <x:c r="A273" s="16" t="str">
        <x:v>Quarter_Q2/revenue_growth/earlier_fy_end</x:v>
      </x:c>
      <x:c r="B273" s="19" t="str">
        <x:v>無法計算／待確認</x:v>
      </x:c>
      <x:c r="C273" s="16"/>
      <x:c r="D273" s="16"/>
      <x:c r="E273" s="16" t="str">
        <x:v>無法計算／待確認</x:v>
      </x:c>
      <x:c r="F273" s="22" t="str">
        <x:v>Required inputs unavailable</x:v>
      </x:c>
      <x:c r="G273" s="22" t="str"/>
    </x:row>
    <x:row r="274">
      <x:c r="A274" s="16" t="str">
        <x:v>Quarter_Q2/gross_margin/earlier_fy_end</x:v>
      </x:c>
      <x:c r="B274" s="19" t="str">
        <x:v>無法計算／待確認</x:v>
      </x:c>
      <x:c r="C274" s="16"/>
      <x:c r="D274" s="16"/>
      <x:c r="E274" s="16" t="str">
        <x:v>無法計算／待確認</x:v>
      </x:c>
      <x:c r="F274" s="22" t="str">
        <x:v>Required inputs unavailable</x:v>
      </x:c>
      <x:c r="G274" s="22" t="str"/>
    </x:row>
    <x:row r="275">
      <x:c r="A275" s="16" t="str">
        <x:v>Quarter_Q2/operating_margin/earlier_fy_end</x:v>
      </x:c>
      <x:c r="B275" s="19" t="str">
        <x:v>無法計算／待確認</x:v>
      </x:c>
      <x:c r="C275" s="16"/>
      <x:c r="D275" s="16"/>
      <x:c r="E275" s="16" t="str">
        <x:v>無法計算／待確認</x:v>
      </x:c>
      <x:c r="F275" s="22" t="str">
        <x:v>Required inputs unavailable</x:v>
      </x:c>
      <x:c r="G275" s="22" t="str"/>
    </x:row>
    <x:row r="276">
      <x:c r="A276" s="16" t="str">
        <x:v>Quarter_Q2/pretax_margin/earlier_fy_end</x:v>
      </x:c>
      <x:c r="B276" s="19" t="str">
        <x:v>無法計算／待確認</x:v>
      </x:c>
      <x:c r="C276" s="16"/>
      <x:c r="D276" s="16"/>
      <x:c r="E276" s="16" t="str">
        <x:v>無法計算／待確認</x:v>
      </x:c>
      <x:c r="F276" s="22" t="str">
        <x:v>Required inputs unavailable</x:v>
      </x:c>
      <x:c r="G276" s="22" t="str"/>
    </x:row>
    <x:row r="277">
      <x:c r="A277" s="16" t="str">
        <x:v>Quarter_Q2/operating_margin_change/earlier_fy_end</x:v>
      </x:c>
      <x:c r="B277" s="19" t="str">
        <x:v>無法計算／待確認</x:v>
      </x:c>
      <x:c r="C277" s="16"/>
      <x:c r="D277" s="16"/>
      <x:c r="E277" s="16" t="str">
        <x:v>無法計算／待確認</x:v>
      </x:c>
      <x:c r="F277" s="22" t="str">
        <x:v>Required inputs unavailable</x:v>
      </x:c>
      <x:c r="G277" s="22" t="str"/>
    </x:row>
    <x:row r="278">
      <x:c r="A278" s="16" t="str">
        <x:v>Quarter_Q2/revenue_growth/prior_interim</x:v>
      </x:c>
      <x:c r="B278" s="19" t="str">
        <x:v>無法計算／待確認</x:v>
      </x:c>
      <x:c r="C278" s="16"/>
      <x:c r="D278" s="16"/>
      <x:c r="E278" s="16" t="str">
        <x:v>無法計算／待確認</x:v>
      </x:c>
      <x:c r="F278" s="22" t="str">
        <x:v>Required inputs unavailable</x:v>
      </x:c>
      <x:c r="G278" s="22" t="str"/>
    </x:row>
    <x:row r="279">
      <x:c r="A279" s="16" t="str">
        <x:v>Quarter_Q2/gross_margin/prior_interim</x:v>
      </x:c>
      <x:c r="B279" s="19" t="n">
        <x:f>IF(AND(ISNUMBER(B189),ISNUMBER(B181)),IF(B181=0,"無法計算",B189/B181),"缺少資料")</x:f>
        <x:v>0.5499593826157595</x:v>
      </x:c>
      <x:c r="C279" s="16"/>
      <x:c r="D279" s="16"/>
      <x:c r="E279" s="16" t="str">
        <x:v>calculated</x:v>
      </x:c>
      <x:c r="F279" s="22" t="str">
        <x:v>Gross Profit / Revenues</x:v>
      </x:c>
      <x:c r="G279" s="22" t="str"/>
    </x:row>
    <x:row r="280">
      <x:c r="A280" s="16" t="str">
        <x:v>Quarter_Q2/operating_margin/prior_interim</x:v>
      </x:c>
      <x:c r="B280" s="19" t="n">
        <x:f>IF(AND(ISNUMBER(B197),ISNUMBER(B181)),IF(B181=0,"無法計算",B197/B181),"缺少資料")</x:f>
        <x:v>0.17546709991876522</x:v>
      </x:c>
      <x:c r="C280" s="16"/>
      <x:c r="D280" s="16"/>
      <x:c r="E280" s="16" t="str">
        <x:v>calculated</x:v>
      </x:c>
      <x:c r="F280" s="22" t="str">
        <x:v>Operating Profit / Revenues</x:v>
      </x:c>
      <x:c r="G280" s="22" t="str"/>
    </x:row>
    <x:row r="281">
      <x:c r="A281" s="16" t="str">
        <x:v>Quarter_Q2/pretax_margin/prior_interim</x:v>
      </x:c>
      <x:c r="B281" s="19" t="n">
        <x:f>IF(AND(ISNUMBER(B205),ISNUMBER(B181)),IF(B181=0,"無法計算",B205/B181),"缺少資料")</x:f>
        <x:v>0.10885458976441917</x:v>
      </x:c>
      <x:c r="C281" s="16"/>
      <x:c r="D281" s="16"/>
      <x:c r="E281" s="16" t="str">
        <x:v>calculated</x:v>
      </x:c>
      <x:c r="F281" s="22" t="str">
        <x:v>Pre-tax Profit / Revenues</x:v>
      </x:c>
      <x:c r="G281" s="22" t="str"/>
    </x:row>
    <x:row r="282">
      <x:c r="A282" s="16" t="str">
        <x:v>Quarter_Q2/operating_margin_change/prior_interim</x:v>
      </x:c>
      <x:c r="B282" s="19" t="str">
        <x:v>無法計算／待確認</x:v>
      </x:c>
      <x:c r="C282" s="16"/>
      <x:c r="D282" s="16"/>
      <x:c r="E282" s="16" t="str">
        <x:v>無法計算／待確認</x:v>
      </x:c>
      <x:c r="F282" s="22" t="str">
        <x:v>Required inputs unavailable</x:v>
      </x:c>
      <x:c r="G282" s="22" t="str"/>
    </x:row>
    <x:row r="283">
      <x:c r="A283" s="16" t="str">
        <x:v>Quarter_Q2/revenue_growth/latest_fy_end</x:v>
      </x:c>
      <x:c r="B283" s="19" t="str">
        <x:v>無法計算／待確認</x:v>
      </x:c>
      <x:c r="C283" s="16"/>
      <x:c r="D283" s="16"/>
      <x:c r="E283" s="16" t="str">
        <x:v>無法計算／待確認</x:v>
      </x:c>
      <x:c r="F283" s="22" t="str">
        <x:v>Required inputs unavailable</x:v>
      </x:c>
      <x:c r="G283" s="22" t="str"/>
    </x:row>
    <x:row r="284">
      <x:c r="A284" s="16" t="str">
        <x:v>Quarter_Q2/gross_margin/latest_fy_end</x:v>
      </x:c>
      <x:c r="B284" s="19" t="str">
        <x:v>無法計算／待確認</x:v>
      </x:c>
      <x:c r="C284" s="16"/>
      <x:c r="D284" s="16"/>
      <x:c r="E284" s="16" t="str">
        <x:v>無法計算／待確認</x:v>
      </x:c>
      <x:c r="F284" s="22" t="str">
        <x:v>Required inputs unavailable</x:v>
      </x:c>
      <x:c r="G284" s="22" t="str"/>
    </x:row>
    <x:row r="285">
      <x:c r="A285" s="16" t="str">
        <x:v>Quarter_Q2/operating_margin/latest_fy_end</x:v>
      </x:c>
      <x:c r="B285" s="19" t="str">
        <x:v>無法計算／待確認</x:v>
      </x:c>
      <x:c r="C285" s="16"/>
      <x:c r="D285" s="16"/>
      <x:c r="E285" s="16" t="str">
        <x:v>無法計算／待確認</x:v>
      </x:c>
      <x:c r="F285" s="22" t="str">
        <x:v>Required inputs unavailable</x:v>
      </x:c>
      <x:c r="G285" s="22" t="str"/>
    </x:row>
    <x:row r="286">
      <x:c r="A286" s="16" t="str">
        <x:v>Quarter_Q2/pretax_margin/latest_fy_end</x:v>
      </x:c>
      <x:c r="B286" s="19" t="str">
        <x:v>無法計算／待確認</x:v>
      </x:c>
      <x:c r="C286" s="16"/>
      <x:c r="D286" s="16"/>
      <x:c r="E286" s="16" t="str">
        <x:v>無法計算／待確認</x:v>
      </x:c>
      <x:c r="F286" s="22" t="str">
        <x:v>Required inputs unavailable</x:v>
      </x:c>
      <x:c r="G286" s="22" t="str"/>
    </x:row>
    <x:row r="287">
      <x:c r="A287" s="16" t="str">
        <x:v>Quarter_Q2/operating_margin_change/latest_fy_end</x:v>
      </x:c>
      <x:c r="B287" s="19" t="str">
        <x:v>無法計算／待確認</x:v>
      </x:c>
      <x:c r="C287" s="16"/>
      <x:c r="D287" s="16"/>
      <x:c r="E287" s="16" t="str">
        <x:v>無法計算／待確認</x:v>
      </x:c>
      <x:c r="F287" s="22" t="str">
        <x:v>Required inputs unavailable</x:v>
      </x:c>
      <x:c r="G287" s="22" t="str"/>
    </x:row>
    <x:row r="288">
      <x:c r="A288" s="16" t="str">
        <x:v>Quarter_Q2/revenue_growth/current_interim</x:v>
      </x:c>
      <x:c r="B288" s="19" t="n">
        <x:f>IF(AND(ISNUMBER(B183),ISNUMBER(B181)),IF(B181=0,"無法計算",(B183-B181)/B181),"缺少資料")</x:f>
        <x:v>0.3765231519090171</x:v>
      </x:c>
      <x:c r="C288" s="16"/>
      <x:c r="D288" s="16"/>
      <x:c r="E288" s="16" t="str">
        <x:v>calculated</x:v>
      </x:c>
      <x:c r="F288" s="22" t="str">
        <x:v>(Current Year Revenues - Previous Year Revenues) / Previous Year Revenues</x:v>
      </x:c>
      <x:c r="G288" s="22" t="str"/>
    </x:row>
    <x:row r="289">
      <x:c r="A289" s="16" t="str">
        <x:v>Quarter_Q2/gross_margin/current_interim</x:v>
      </x:c>
      <x:c r="B289" s="19" t="n">
        <x:f>IF(AND(ISNUMBER(B191),ISNUMBER(B183)),IF(B183=0,"無法計算",B191/B183),"缺少資料")</x:f>
        <x:v>0.5452935969312481</x:v>
      </x:c>
      <x:c r="C289" s="16"/>
      <x:c r="D289" s="16"/>
      <x:c r="E289" s="16" t="str">
        <x:v>calculated</x:v>
      </x:c>
      <x:c r="F289" s="22" t="str">
        <x:v>Gross Profit / Revenues</x:v>
      </x:c>
      <x:c r="G289" s="22" t="str"/>
    </x:row>
    <x:row r="290">
      <x:c r="A290" s="16" t="str">
        <x:v>Quarter_Q2/operating_margin/current_interim</x:v>
      </x:c>
      <x:c r="B290" s="19" t="n">
        <x:f>IF(AND(ISNUMBER(B199),ISNUMBER(B183)),IF(B183=0,"無法計算",B199/B183),"缺少資料")</x:f>
        <x:v>0.1850103275302449</x:v>
      </x:c>
      <x:c r="C290" s="16"/>
      <x:c r="D290" s="16"/>
      <x:c r="E290" s="16" t="str">
        <x:v>calculated</x:v>
      </x:c>
      <x:c r="F290" s="22" t="str">
        <x:v>Operating Profit / Revenues</x:v>
      </x:c>
      <x:c r="G290" s="22" t="str"/>
    </x:row>
    <x:row r="291">
      <x:c r="A291" s="16" t="str">
        <x:v>Quarter_Q2/pretax_margin/current_interim</x:v>
      </x:c>
      <x:c r="B291" s="19" t="n">
        <x:f>IF(AND(ISNUMBER(B207),ISNUMBER(B183)),IF(B183=0,"無法計算",B207/B183),"缺少資料")</x:f>
        <x:v>0.09737385659486575</x:v>
      </x:c>
      <x:c r="C291" s="16"/>
      <x:c r="D291" s="16"/>
      <x:c r="E291" s="16" t="str">
        <x:v>calculated</x:v>
      </x:c>
      <x:c r="F291" s="22" t="str">
        <x:v>Pre-tax Profit / Revenues</x:v>
      </x:c>
      <x:c r="G291" s="22" t="str"/>
    </x:row>
    <x:row r="292">
      <x:c r="A292" s="16" t="str">
        <x:v>Quarter_Q2/operating_margin_change/current_interim</x:v>
      </x:c>
      <x:c r="B292" s="19" t="n">
        <x:f>IF(AND(ISNUMBER(B290),ISNUMBER(B280)),B290-B280,"缺少資料")</x:f>
        <x:v>0.009543227611479688</x:v>
      </x:c>
      <x:c r="C292" s="16"/>
      <x:c r="D292" s="16"/>
      <x:c r="E292" s="16" t="str">
        <x:v>calculated</x:v>
      </x:c>
      <x:c r="F292" s="22" t="str">
        <x:v>Current Operating Profit Margin - Previous Operating Profit Margin</x:v>
      </x:c>
      <x:c r="G292" s="22" t="str"/>
    </x:row>
    <x:row r="293">
      <x:c r="A293" s="16"/>
      <x:c r="B293" s="16"/>
      <x:c r="C293" s="16"/>
      <x:c r="D293" s="16"/>
      <x:c r="E293" s="16"/>
      <x:c r="F293" s="22"/>
      <x:c r="G293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75" hidden="0" customWidth="1"/>
    <x:col min="7" max="7" width="75" hidden="0" customWidth="1"/>
  </x:cols>
  <x:sheetData>
    <x:row r="2">
      <x:c r="A2" s="15" t="str">
        <x:v>Nexstar Year（百萬美元）</x:v>
      </x:c>
      <x:c r="B2" s="16"/>
      <x:c r="C2" s="16"/>
      <x:c r="D2" s="16"/>
      <x:c r="E2" s="16"/>
      <x:c r="F2" s="22"/>
      <x:c r="G2" s="22"/>
    </x:row>
    <x:row r="3">
      <x:c r="A3" s="16" t="str">
        <x:v>待驗收：SEC來源、現金流期間與勾稽仍未完成。</x:v>
      </x:c>
      <x:c r="B3" s="16"/>
      <x:c r="C3" s="16"/>
      <x:c r="D3" s="16"/>
      <x:c r="E3" s="16"/>
      <x:c r="F3" s="22"/>
      <x:c r="G3" s="22"/>
    </x:row>
    <x:row r="4">
      <x:c r="A4" s="16"/>
      <x:c r="B4" s="16"/>
      <x:c r="C4" s="16"/>
      <x:c r="D4" s="16"/>
      <x:c r="E4" s="16"/>
      <x:c r="F4" s="22"/>
      <x:c r="G4" s="22"/>
    </x:row>
    <x:row r="5">
      <x:c r="A5" s="16" t="str">
        <x:v>YOY (Annual) Income</x:v>
      </x:c>
      <x:c r="B5" s="16"/>
      <x:c r="C5" s="16"/>
      <x:c r="D5" s="16"/>
      <x:c r="E5" s="16"/>
      <x:c r="F5" s="22"/>
      <x:c r="G5" s="22"/>
    </x:row>
    <x:row r="6" ht="40" customHeight="1">
      <x:c r="A6" s="17" t="str">
        <x:v>科目</x:v>
      </x:c>
      <x:c r="B6" s="17" t="str">
        <x:v>2022-01-01～2022-12-31</x:v>
      </x:c>
      <x:c r="C6" s="17" t="str">
        <x:v>2023-01-01～2023-12-31</x:v>
      </x:c>
      <x:c r="D6" s="17" t="str">
        <x:v>2024-01-01～2024-12-31</x:v>
      </x:c>
      <x:c r="E6" s="17" t="str">
        <x:v>營收占比</x:v>
      </x:c>
      <x:c r="F6" s="17" t="str">
        <x:v>2025-01-01～2025-12-31</x:v>
      </x:c>
      <x:c r="G6" s="17" t="str">
        <x:v>營收占比</x:v>
      </x:c>
    </x:row>
    <x:row r="7">
      <x:c r="A7" s="16" t="str">
        <x:v>Revenues／營業收入</x:v>
      </x:c>
      <x:c r="B7" s="18" t="n">
        <x:f>B54</x:f>
        <x:v>5211</x:v>
      </x:c>
      <x:c r="C7" s="18" t="n">
        <x:f>B55</x:f>
        <x:v>4933</x:v>
      </x:c>
      <x:c r="D7" s="18" t="n">
        <x:f>B56</x:f>
        <x:v>5407</x:v>
      </x:c>
      <x:c r="E7" s="19" t="n">
        <x:f>B57</x:f>
        <x:v>1</x:v>
      </x:c>
      <x:c r="F7" s="23" t="n">
        <x:f>B58</x:f>
        <x:v>4949</x:v>
      </x:c>
      <x:c r="G7" s="24" t="n">
        <x:f>B59</x:f>
        <x:v>1</x:v>
      </x:c>
    </x:row>
    <x:row r="8">
      <x:c r="A8" s="16" t="str">
        <x:v>Operating Cost／營業成本</x:v>
      </x:c>
      <x:c r="B8" s="18" t="n">
        <x:f>B60</x:f>
        <x:v>2005</x:v>
      </x:c>
      <x:c r="C8" s="18" t="n">
        <x:f>B61</x:f>
        <x:v>2153</x:v>
      </x:c>
      <x:c r="D8" s="18" t="n">
        <x:f>B62</x:f>
        <x:v>2221</x:v>
      </x:c>
      <x:c r="E8" s="19" t="n">
        <x:f>B63</x:f>
        <x:v>0.41076382467172184</x:v>
      </x:c>
      <x:c r="F8" s="23" t="n">
        <x:f>B64</x:f>
        <x:v>2235</x:v>
      </x:c>
      <x:c r="G8" s="24" t="n">
        <x:f>B65</x:f>
        <x:v>0.45160638512830875</x:v>
      </x:c>
    </x:row>
    <x:row r="9">
      <x:c r="A9" s="16" t="str">
        <x:v>Gross profit／毛利</x:v>
      </x:c>
      <x:c r="B9" s="18" t="n">
        <x:f>B66</x:f>
        <x:v>3206</x:v>
      </x:c>
      <x:c r="C9" s="18" t="n">
        <x:f>B67</x:f>
        <x:v>2780</x:v>
      </x:c>
      <x:c r="D9" s="18" t="n">
        <x:f>B68</x:f>
        <x:v>3186</x:v>
      </x:c>
      <x:c r="E9" s="19" t="n">
        <x:f>B69</x:f>
        <x:v>0.5892361753282782</x:v>
      </x:c>
      <x:c r="F9" s="23" t="n">
        <x:f>B70</x:f>
        <x:v>2714</x:v>
      </x:c>
      <x:c r="G9" s="24" t="n">
        <x:f>B71</x:f>
        <x:v>0.5483936148716912</x:v>
      </x:c>
    </x:row>
    <x:row r="10">
      <x:c r="A10" s="16" t="str">
        <x:v>Operating expense／營業費用</x:v>
      </x:c>
      <x:c r="B10" s="18" t="str">
        <x:f>B72</x:f>
        <x:v>無法計算／待確認</x:v>
      </x:c>
      <x:c r="C10" s="18" t="str">
        <x:f>B73</x:f>
        <x:v>無法計算／待確認</x:v>
      </x:c>
      <x:c r="D10" s="18" t="str">
        <x:f>B74</x:f>
        <x:v>無法計算／待確認</x:v>
      </x:c>
      <x:c r="E10" s="19" t="str">
        <x:f>B75</x:f>
        <x:v>無法計算／待確認</x:v>
      </x:c>
      <x:c r="F10" s="23" t="str">
        <x:f>B76</x:f>
        <x:v>無法計算／待確認</x:v>
      </x:c>
      <x:c r="G10" s="24" t="str">
        <x:f>B77</x:f>
        <x:v>無法計算／待確認</x:v>
      </x:c>
    </x:row>
    <x:row r="11">
      <x:c r="A11" s="16" t="str">
        <x:v>Operating income／營業利益</x:v>
      </x:c>
      <x:c r="B11" s="18" t="n">
        <x:f>B78</x:f>
        <x:v>1312.1</x:v>
      </x:c>
      <x:c r="C11" s="18" t="n">
        <x:f>B79</x:f>
        <x:v>708</x:v>
      </x:c>
      <x:c r="D11" s="18" t="n">
        <x:f>B80</x:f>
        <x:v>1268</x:v>
      </x:c>
      <x:c r="E11" s="19" t="n">
        <x:f>B81</x:f>
        <x:v>0.23451081930830406</x:v>
      </x:c>
      <x:c r="F11" s="23" t="n">
        <x:f>B82</x:f>
        <x:v>849</x:v>
      </x:c>
      <x:c r="G11" s="24" t="n">
        <x:f>B83</x:f>
        <x:v>0.17154980804202868</x:v>
      </x:c>
    </x:row>
    <x:row r="12">
      <x:c r="A12" s="16" t="str">
        <x:v>Interest expense／利息費用</x:v>
      </x:c>
      <x:c r="B12" s="18" t="str">
        <x:f>B84</x:f>
        <x:v>無法計算／待確認</x:v>
      </x:c>
      <x:c r="C12" s="18" t="str">
        <x:f>B85</x:f>
        <x:v>無法計算／待確認</x:v>
      </x:c>
      <x:c r="D12" s="18" t="str">
        <x:f>B86</x:f>
        <x:v>無法計算／待確認</x:v>
      </x:c>
      <x:c r="E12" s="19" t="str">
        <x:f>B87</x:f>
        <x:v>無法計算／待確認</x:v>
      </x:c>
      <x:c r="F12" s="23" t="str">
        <x:f>B88</x:f>
        <x:v>無法計算／待確認</x:v>
      </x:c>
      <x:c r="G12" s="24" t="str">
        <x:f>B89</x:f>
        <x:v>無法計算／待確認</x:v>
      </x:c>
    </x:row>
    <x:row r="13">
      <x:c r="A13" s="16" t="str">
        <x:v>Income before taxes／稅前利益</x:v>
      </x:c>
      <x:c r="B13" s="18" t="n">
        <x:f>B90</x:f>
        <x:v>1217.1</x:v>
      </x:c>
      <x:c r="C13" s="18" t="n">
        <x:f>B91</x:f>
        <x:v>401</x:v>
      </x:c>
      <x:c r="D13" s="18" t="n">
        <x:f>B92</x:f>
        <x:v>959</x:v>
      </x:c>
      <x:c r="E13" s="19" t="n">
        <x:f>B93</x:f>
        <x:v>0.17736267800998706</x:v>
      </x:c>
      <x:c r="F13" s="23" t="n">
        <x:f>B94</x:f>
        <x:v>150</x:v>
      </x:c>
      <x:c r="G13" s="24" t="n">
        <x:f>B95</x:f>
        <x:v>0.030309153364316024</x:v>
      </x:c>
    </x:row>
    <x:row r="14">
      <x:c r="A14" s="16" t="str">
        <x:v>Income tax expense／所得稅費用／利益</x:v>
      </x:c>
      <x:c r="B14" s="18" t="n">
        <x:f>B96</x:f>
        <x:v>273.6</x:v>
      </x:c>
      <x:c r="C14" s="18" t="n">
        <x:f>B97</x:f>
        <x:v>131</x:v>
      </x:c>
      <x:c r="D14" s="18" t="n">
        <x:f>B98</x:f>
        <x:v>276</x:v>
      </x:c>
      <x:c r="E14" s="19" t="n">
        <x:f>B99</x:f>
        <x:v>0.05104494174218605</x:v>
      </x:c>
      <x:c r="F14" s="23" t="n">
        <x:f>B100</x:f>
        <x:v>67</x:v>
      </x:c>
      <x:c r="G14" s="24" t="n">
        <x:f>B101</x:f>
        <x:v>0.013538088502727823</x:v>
      </x:c>
    </x:row>
    <x:row r="15">
      <x:c r="A15" s="16" t="str">
        <x:v>Net income／稅後淨利</x:v>
      </x:c>
      <x:c r="B15" s="18" t="n">
        <x:f>B102</x:f>
        <x:v>943.5</x:v>
      </x:c>
      <x:c r="C15" s="18" t="n">
        <x:f>B103</x:f>
        <x:v>270</x:v>
      </x:c>
      <x:c r="D15" s="18" t="n">
        <x:f>B104</x:f>
        <x:v>683</x:v>
      </x:c>
      <x:c r="E15" s="19" t="n">
        <x:f>B105</x:f>
        <x:v>0.126317736267801</x:v>
      </x:c>
      <x:c r="F15" s="23" t="n">
        <x:f>B106</x:f>
        <x:v>83</x:v>
      </x:c>
      <x:c r="G15" s="24" t="n">
        <x:f>B107</x:f>
        <x:v>0.0167710648615882</x:v>
      </x:c>
    </x:row>
    <x:row r="16">
      <x:c r="A16" s="16"/>
      <x:c r="B16" s="16"/>
      <x:c r="C16" s="16"/>
      <x:c r="D16" s="16"/>
      <x:c r="E16" s="16"/>
      <x:c r="F16" s="22"/>
      <x:c r="G16" s="22"/>
    </x:row>
    <x:row r="17">
      <x:c r="A17" s="16"/>
      <x:c r="B17" s="16"/>
      <x:c r="C17" s="16"/>
      <x:c r="D17" s="16"/>
      <x:c r="E17" s="16"/>
      <x:c r="F17" s="22"/>
      <x:c r="G17" s="22"/>
    </x:row>
    <x:row r="18">
      <x:c r="A18" s="16" t="str">
        <x:v>Annual Cash Flows</x:v>
      </x:c>
      <x:c r="B18" s="16"/>
      <x:c r="C18" s="16"/>
      <x:c r="D18" s="16"/>
      <x:c r="E18" s="16"/>
      <x:c r="F18" s="22"/>
      <x:c r="G18" s="22"/>
    </x:row>
    <x:row r="19" ht="40" customHeight="1">
      <x:c r="A19" s="17" t="str">
        <x:v>科目</x:v>
      </x:c>
      <x:c r="B19" s="17" t="str">
        <x:v>2022-01-01～2022-12-31</x:v>
      </x:c>
      <x:c r="C19" s="17" t="str">
        <x:v>2023-01-01～2023-12-31</x:v>
      </x:c>
      <x:c r="D19" s="17" t="str">
        <x:v>2024-01-01～2024-12-31</x:v>
      </x:c>
      <x:c r="E19" s="17" t="str">
        <x:v>2025-01-01～2025-12-31</x:v>
      </x:c>
      <x:c r="F19" s="22"/>
      <x:c r="G19" s="22"/>
    </x:row>
    <x:row r="20">
      <x:c r="A20" s="16" t="str">
        <x:v>Beginning balance／期初現金</x:v>
      </x:c>
      <x:c r="B20" s="18" t="str">
        <x:f>B108</x:f>
        <x:v>無法計算／待確認</x:v>
      </x:c>
      <x:c r="C20" s="18" t="str">
        <x:f>B109</x:f>
        <x:v>無法計算／待確認</x:v>
      </x:c>
      <x:c r="D20" s="18" t="str">
        <x:f>B110</x:f>
        <x:v>無法計算／待確認</x:v>
      </x:c>
      <x:c r="E20" s="18" t="str">
        <x:f>B111</x:f>
        <x:v>無法計算／待確認</x:v>
      </x:c>
      <x:c r="F20" s="22"/>
      <x:c r="G20" s="22"/>
    </x:row>
    <x:row r="21">
      <x:c r="A21" s="16" t="str">
        <x:v>Operating activities／營業活動現金流</x:v>
      </x:c>
      <x:c r="B21" s="18" t="str">
        <x:f>B112</x:f>
        <x:v>無法計算／待確認</x:v>
      </x:c>
      <x:c r="C21" s="18" t="str">
        <x:f>B113</x:f>
        <x:v>無法計算／待確認</x:v>
      </x:c>
      <x:c r="D21" s="18" t="str">
        <x:f>B114</x:f>
        <x:v>無法計算／待確認</x:v>
      </x:c>
      <x:c r="E21" s="18" t="str">
        <x:f>B115</x:f>
        <x:v>無法計算／待確認</x:v>
      </x:c>
      <x:c r="F21" s="22"/>
      <x:c r="G21" s="22"/>
    </x:row>
    <x:row r="22">
      <x:c r="A22" s="16" t="str">
        <x:v>Investing activities／投資活動現金流</x:v>
      </x:c>
      <x:c r="B22" s="18" t="str">
        <x:f>B116</x:f>
        <x:v>無法計算／待確認</x:v>
      </x:c>
      <x:c r="C22" s="18" t="str">
        <x:f>B117</x:f>
        <x:v>無法計算／待確認</x:v>
      </x:c>
      <x:c r="D22" s="18" t="str">
        <x:f>B118</x:f>
        <x:v>無法計算／待確認</x:v>
      </x:c>
      <x:c r="E22" s="18" t="str">
        <x:f>B119</x:f>
        <x:v>無法計算／待確認</x:v>
      </x:c>
      <x:c r="F22" s="22"/>
      <x:c r="G22" s="22"/>
    </x:row>
    <x:row r="23">
      <x:c r="A23" s="16" t="str">
        <x:v>Financing activities／籌資活動現金流</x:v>
      </x:c>
      <x:c r="B23" s="18" t="str">
        <x:f>B120</x:f>
        <x:v>無法計算／待確認</x:v>
      </x:c>
      <x:c r="C23" s="18" t="str">
        <x:f>B121</x:f>
        <x:v>無法計算／待確認</x:v>
      </x:c>
      <x:c r="D23" s="18" t="str">
        <x:f>B122</x:f>
        <x:v>無法計算／待確認</x:v>
      </x:c>
      <x:c r="E23" s="18" t="str">
        <x:f>B123</x:f>
        <x:v>無法計算／待確認</x:v>
      </x:c>
      <x:c r="F23" s="22"/>
      <x:c r="G23" s="22"/>
    </x:row>
    <x:row r="24">
      <x:c r="A24" s="16" t="str">
        <x:v>Ending balance／期末現金</x:v>
      </x:c>
      <x:c r="B24" s="18" t="str">
        <x:f>B124</x:f>
        <x:v>無法計算／待確認</x:v>
      </x:c>
      <x:c r="C24" s="18" t="str">
        <x:f>B125</x:f>
        <x:v>無法計算／待確認</x:v>
      </x:c>
      <x:c r="D24" s="18" t="str">
        <x:f>B126</x:f>
        <x:v>無法計算／待確認</x:v>
      </x:c>
      <x:c r="E24" s="18" t="str">
        <x:f>B127</x:f>
        <x:v>無法計算／待確認</x:v>
      </x:c>
      <x:c r="F24" s="22"/>
      <x:c r="G24" s="22"/>
    </x:row>
    <x:row r="25">
      <x:c r="A25" s="16" t="str">
        <x:v>Change／現金變動</x:v>
      </x:c>
      <x:c r="B25" s="18" t="str">
        <x:f>B128</x:f>
        <x:v>無法計算／待確認</x:v>
      </x:c>
      <x:c r="C25" s="18" t="str">
        <x:f>B129</x:f>
        <x:v>無法計算／待確認</x:v>
      </x:c>
      <x:c r="D25" s="18" t="str">
        <x:f>B130</x:f>
        <x:v>無法計算／待確認</x:v>
      </x:c>
      <x:c r="E25" s="18" t="str">
        <x:f>B131</x:f>
        <x:v>無法計算／待確認</x:v>
      </x:c>
      <x:c r="F25" s="22"/>
      <x:c r="G25" s="22"/>
    </x:row>
    <x:row r="26">
      <x:c r="A26" s="16"/>
      <x:c r="B26" s="16"/>
      <x:c r="C26" s="16"/>
      <x:c r="D26" s="16"/>
      <x:c r="E26" s="16"/>
      <x:c r="F26" s="22"/>
      <x:c r="G26" s="22"/>
    </x:row>
    <x:row r="27">
      <x:c r="A27" s="16"/>
      <x:c r="B27" s="16"/>
      <x:c r="C27" s="16"/>
      <x:c r="D27" s="16"/>
      <x:c r="E27" s="16"/>
      <x:c r="F27" s="22"/>
      <x:c r="G27" s="22"/>
    </x:row>
    <x:row r="28">
      <x:c r="A28" s="16" t="str">
        <x:v>Ratios YOY</x:v>
      </x:c>
      <x:c r="B28" s="16"/>
      <x:c r="C28" s="16"/>
      <x:c r="D28" s="16"/>
      <x:c r="E28" s="16"/>
      <x:c r="F28" s="22"/>
      <x:c r="G28" s="22"/>
    </x:row>
    <x:row r="29" ht="40" customHeight="1">
      <x:c r="A29" s="17" t="str">
        <x:v>科目</x:v>
      </x:c>
      <x:c r="B29" s="17" t="str">
        <x:v>2022-01-01～2022-12-31</x:v>
      </x:c>
      <x:c r="C29" s="17" t="str">
        <x:v>2023-01-01～2023-12-31</x:v>
      </x:c>
      <x:c r="D29" s="17" t="str">
        <x:v>2024-01-01～2024-12-31</x:v>
      </x:c>
      <x:c r="E29" s="17" t="str">
        <x:v>2025-01-01～2025-12-31</x:v>
      </x:c>
      <x:c r="F29" s="22"/>
      <x:c r="G29" s="22"/>
    </x:row>
    <x:row r="30">
      <x:c r="A30" s="16" t="str">
        <x:v>Current ratio／流動比率</x:v>
      </x:c>
      <x:c r="B30" s="19" t="n">
        <x:f>B132</x:f>
        <x:v>1.8075459023734886</x:v>
      </x:c>
      <x:c r="C30" s="19" t="n">
        <x:f>B133</x:f>
        <x:v>1.5254942767950053</x:v>
      </x:c>
      <x:c r="D30" s="19" t="n">
        <x:f>B134</x:f>
        <x:v>1.656449553001277</x:v>
      </x:c>
      <x:c r="E30" s="19" t="n">
        <x:f>B135</x:f>
        <x:v>2.071729957805907</x:v>
      </x:c>
      <x:c r="F30" s="22"/>
      <x:c r="G30" s="22"/>
    </x:row>
    <x:row r="31">
      <x:c r="A31" s="16" t="str">
        <x:v>Quick ratio／速動比率</x:v>
      </x:c>
      <x:c r="B31" s="19" t="str">
        <x:f>B136</x:f>
        <x:v>無法計算／待確認</x:v>
      </x:c>
      <x:c r="C31" s="19" t="str">
        <x:f>B137</x:f>
        <x:v>無法計算／待確認</x:v>
      </x:c>
      <x:c r="D31" s="19" t="str">
        <x:f>B138</x:f>
        <x:v>無法計算／待確認</x:v>
      </x:c>
      <x:c r="E31" s="19" t="str">
        <x:f>B139</x:f>
        <x:v>無法計算／待確認</x:v>
      </x:c>
      <x:c r="F31" s="22"/>
      <x:c r="G31" s="22"/>
    </x:row>
    <x:row r="32">
      <x:c r="A32" s="16" t="str">
        <x:v>Cash flow ratio／現金流量比率</x:v>
      </x:c>
      <x:c r="B32" s="19" t="str">
        <x:f>B140</x:f>
        <x:v>無法計算／待確認</x:v>
      </x:c>
      <x:c r="C32" s="19" t="str">
        <x:f>B141</x:f>
        <x:v>無法計算／待確認</x:v>
      </x:c>
      <x:c r="D32" s="19" t="str">
        <x:f>B142</x:f>
        <x:v>無法計算／待確認</x:v>
      </x:c>
      <x:c r="E32" s="19" t="str">
        <x:f>B143</x:f>
        <x:v>無法計算／待確認</x:v>
      </x:c>
      <x:c r="F32" s="22"/>
      <x:c r="G32" s="22"/>
    </x:row>
    <x:row r="33">
      <x:c r="A33" s="16" t="str">
        <x:v>Debt ratio／負債比率</x:v>
      </x:c>
      <x:c r="B33" s="19" t="str">
        <x:f>B144</x:f>
        <x:v>無法計算／待確認</x:v>
      </x:c>
      <x:c r="C33" s="19" t="str">
        <x:f>B145</x:f>
        <x:v>無法計算／待確認</x:v>
      </x:c>
      <x:c r="D33" s="19" t="str">
        <x:f>B146</x:f>
        <x:v>無法計算／待確認</x:v>
      </x:c>
      <x:c r="E33" s="19" t="str">
        <x:f>B147</x:f>
        <x:v>無法計算／待確認</x:v>
      </x:c>
      <x:c r="F33" s="22"/>
      <x:c r="G33" s="22"/>
    </x:row>
    <x:row r="34">
      <x:c r="A34" s="16" t="str">
        <x:v>Interest coverage ratio／利息保障倍數</x:v>
      </x:c>
      <x:c r="B34" s="20" t="str">
        <x:f>B148</x:f>
        <x:v>無法計算／待確認</x:v>
      </x:c>
      <x:c r="C34" s="20" t="str">
        <x:f>B149</x:f>
        <x:v>無法計算／待確認</x:v>
      </x:c>
      <x:c r="D34" s="20" t="str">
        <x:f>B150</x:f>
        <x:v>無法計算／待確認</x:v>
      </x:c>
      <x:c r="E34" s="20" t="str">
        <x:f>B151</x:f>
        <x:v>無法計算／待確認</x:v>
      </x:c>
      <x:c r="F34" s="22"/>
      <x:c r="G34" s="22"/>
    </x:row>
    <x:row r="35">
      <x:c r="A35" s="16"/>
      <x:c r="B35" s="16"/>
      <x:c r="C35" s="16"/>
      <x:c r="D35" s="16"/>
      <x:c r="E35" s="16"/>
      <x:c r="F35" s="22"/>
      <x:c r="G35" s="22"/>
    </x:row>
    <x:row r="36">
      <x:c r="A36" s="16"/>
      <x:c r="B36" s="16"/>
      <x:c r="C36" s="16"/>
      <x:c r="D36" s="16"/>
      <x:c r="E36" s="16"/>
      <x:c r="F36" s="22"/>
      <x:c r="G36" s="22"/>
    </x:row>
    <x:row r="37">
      <x:c r="A37" s="16" t="str">
        <x:v>Leverage YOY</x:v>
      </x:c>
      <x:c r="B37" s="16"/>
      <x:c r="C37" s="16"/>
      <x:c r="D37" s="16"/>
      <x:c r="E37" s="16"/>
      <x:c r="F37" s="22"/>
      <x:c r="G37" s="22"/>
    </x:row>
    <x:row r="38" ht="40" customHeight="1">
      <x:c r="A38" s="17" t="str">
        <x:v>科目</x:v>
      </x:c>
      <x:c r="B38" s="17" t="str">
        <x:v>2022-01-01～2022-12-31</x:v>
      </x:c>
      <x:c r="C38" s="17" t="str">
        <x:v>2023-01-01～2023-12-31</x:v>
      </x:c>
      <x:c r="D38" s="17" t="str">
        <x:v>2024-01-01～2024-12-31</x:v>
      </x:c>
      <x:c r="E38" s="17" t="str">
        <x:v>2025-01-01～2025-12-31</x:v>
      </x:c>
      <x:c r="F38" s="22"/>
      <x:c r="G38" s="22"/>
    </x:row>
    <x:row r="39">
      <x:c r="A39" s="16" t="str">
        <x:v>Total debt／總債務</x:v>
      </x:c>
      <x:c r="B39" s="18" t="str">
        <x:f>B152</x:f>
        <x:v>缺少資料</x:v>
      </x:c>
      <x:c r="C39" s="18" t="str">
        <x:f>B153</x:f>
        <x:v>缺少資料</x:v>
      </x:c>
      <x:c r="D39" s="18" t="str">
        <x:f>B154</x:f>
        <x:v>缺少資料</x:v>
      </x:c>
      <x:c r="E39" s="18" t="str">
        <x:f>B155</x:f>
        <x:v>缺少資料</x:v>
      </x:c>
      <x:c r="F39" s="22"/>
      <x:c r="G39" s="22"/>
    </x:row>
    <x:row r="40">
      <x:c r="A40" s="16" t="str">
        <x:v>Debt service／債務清償額</x:v>
      </x:c>
      <x:c r="B40" s="18" t="str">
        <x:f>B156</x:f>
        <x:v>缺少資料</x:v>
      </x:c>
      <x:c r="C40" s="18" t="str">
        <x:f>B157</x:f>
        <x:v>缺少資料</x:v>
      </x:c>
      <x:c r="D40" s="18" t="str">
        <x:f>B158</x:f>
        <x:v>缺少資料</x:v>
      </x:c>
      <x:c r="E40" s="18" t="str">
        <x:f>B159</x:f>
        <x:v>缺少資料</x:v>
      </x:c>
      <x:c r="F40" s="22"/>
      <x:c r="G40" s="22"/>
    </x:row>
    <x:row r="41">
      <x:c r="A41" s="16" t="str">
        <x:v>Interest expense／利息費用</x:v>
      </x:c>
      <x:c r="B41" s="18" t="str">
        <x:f>B84</x:f>
        <x:v>無法計算／待確認</x:v>
      </x:c>
      <x:c r="C41" s="18" t="str">
        <x:f>B85</x:f>
        <x:v>無法計算／待確認</x:v>
      </x:c>
      <x:c r="D41" s="18" t="str">
        <x:f>B86</x:f>
        <x:v>無法計算／待確認</x:v>
      </x:c>
      <x:c r="E41" s="18" t="str">
        <x:f>B88</x:f>
        <x:v>無法計算／待確認</x:v>
      </x:c>
      <x:c r="F41" s="22"/>
      <x:c r="G41" s="22"/>
    </x:row>
    <x:row r="42">
      <x:c r="A42" s="16" t="str">
        <x:v>LTM EBITDA／最近完整年度 EBITDA</x:v>
      </x:c>
      <x:c r="B42" s="18" t="str">
        <x:f>B160</x:f>
        <x:v>無法計算／待確認</x:v>
      </x:c>
      <x:c r="C42" s="18" t="str">
        <x:f>B161</x:f>
        <x:v>無法計算／待確認</x:v>
      </x:c>
      <x:c r="D42" s="18" t="str">
        <x:f>B162</x:f>
        <x:v>無法計算／待確認</x:v>
      </x:c>
      <x:c r="E42" s="18" t="str">
        <x:f>B163</x:f>
        <x:v>無法計算／待確認</x:v>
      </x:c>
      <x:c r="F42" s="22"/>
      <x:c r="G42" s="22"/>
    </x:row>
    <x:row r="43">
      <x:c r="A43" s="16" t="str">
        <x:v>EBITDA basis／EBITDA 計算口徑</x:v>
      </x:c>
      <x:c r="B43" s="18" t="str">
        <x:f>B164</x:f>
        <x:v>缺少資料</x:v>
      </x:c>
      <x:c r="C43" s="18" t="str">
        <x:f>B165</x:f>
        <x:v>缺少資料</x:v>
      </x:c>
      <x:c r="D43" s="18" t="str">
        <x:f>B166</x:f>
        <x:v>缺少資料</x:v>
      </x:c>
      <x:c r="E43" s="18" t="str">
        <x:f>B167</x:f>
        <x:v>缺少資料</x:v>
      </x:c>
      <x:c r="F43" s="22"/>
      <x:c r="G43" s="22"/>
    </x:row>
    <x:row r="44">
      <x:c r="A44" s="16" t="str">
        <x:v>Total leverage ratio／總槓桿倍數</x:v>
      </x:c>
      <x:c r="B44" s="20" t="str">
        <x:f>B168</x:f>
        <x:v>無法計算／待確認</x:v>
      </x:c>
      <x:c r="C44" s="20" t="str">
        <x:f>B169</x:f>
        <x:v>無法計算／待確認</x:v>
      </x:c>
      <x:c r="D44" s="20" t="str">
        <x:f>B170</x:f>
        <x:v>無法計算／待確認</x:v>
      </x:c>
      <x:c r="E44" s="20" t="str">
        <x:f>B171</x:f>
        <x:v>無法計算／待確認</x:v>
      </x:c>
      <x:c r="F44" s="22"/>
      <x:c r="G44" s="22"/>
    </x:row>
    <x:row r="45">
      <x:c r="A45" s="16" t="str">
        <x:v>EBITDA / Interest expense／EBITDA／利息</x:v>
      </x:c>
      <x:c r="B45" s="20" t="str">
        <x:f>B172</x:f>
        <x:v>無法計算／待確認</x:v>
      </x:c>
      <x:c r="C45" s="20" t="str">
        <x:f>B173</x:f>
        <x:v>無法計算／待確認</x:v>
      </x:c>
      <x:c r="D45" s="20" t="str">
        <x:f>B174</x:f>
        <x:v>無法計算／待確認</x:v>
      </x:c>
      <x:c r="E45" s="20" t="str">
        <x:f>B175</x:f>
        <x:v>無法計算／待確認</x:v>
      </x:c>
      <x:c r="F45" s="22"/>
      <x:c r="G45" s="22"/>
    </x:row>
    <x:row r="46">
      <x:c r="A46" s="16" t="str">
        <x:v>Debt service coverage ratio／償債保障倍數</x:v>
      </x:c>
      <x:c r="B46" s="20" t="str">
        <x:f>B176</x:f>
        <x:v>缺少資料</x:v>
      </x:c>
      <x:c r="C46" s="20" t="str">
        <x:f>B177</x:f>
        <x:v>缺少資料</x:v>
      </x:c>
      <x:c r="D46" s="20" t="str">
        <x:f>B178</x:f>
        <x:v>缺少資料</x:v>
      </x:c>
      <x:c r="E46" s="20" t="str">
        <x:f>B179</x:f>
        <x:v>缺少資料</x:v>
      </x:c>
      <x:c r="F46" s="22"/>
      <x:c r="G46" s="22"/>
    </x:row>
    <x:row r="47">
      <x:c r="A47" s="16"/>
      <x:c r="B47" s="16"/>
      <x:c r="C47" s="16"/>
      <x:c r="D47" s="16"/>
      <x:c r="E47" s="16"/>
      <x:c r="F47" s="22"/>
      <x:c r="G47" s="22"/>
    </x:row>
    <x:row r="48">
      <x:c r="A48" s="16"/>
      <x:c r="B48" s="16"/>
      <x:c r="C48" s="16"/>
      <x:c r="D48" s="16"/>
      <x:c r="E48" s="16"/>
      <x:c r="F48" s="22"/>
      <x:c r="G48" s="22"/>
    </x:row>
    <x:row r="49">
      <x:c r="A49" s="16"/>
      <x:c r="B49" s="16"/>
      <x:c r="C49" s="16"/>
      <x:c r="D49" s="16"/>
      <x:c r="E49" s="16"/>
      <x:c r="F49" s="22"/>
      <x:c r="G49" s="22"/>
    </x:row>
    <x:row r="50">
      <x:c r="A50" s="16"/>
      <x:c r="B50" s="16"/>
      <x:c r="C50" s="16"/>
      <x:c r="D50" s="16"/>
      <x:c r="E50" s="16"/>
      <x:c r="F50" s="22"/>
      <x:c r="G50" s="22"/>
    </x:row>
    <x:row r="51">
      <x:c r="A51" s="16" t="str">
        <x:v>來源與計算明細：原值保留，核准不代表來源已核實</x:v>
      </x:c>
      <x:c r="B51" s="16"/>
      <x:c r="C51" s="16"/>
      <x:c r="D51" s="16"/>
      <x:c r="E51" s="16"/>
      <x:c r="F51" s="22"/>
      <x:c r="G51" s="22"/>
    </x:row>
    <x:row r="52">
      <x:c r="A52" s="16"/>
      <x:c r="B52" s="16"/>
      <x:c r="C52" s="16"/>
      <x:c r="D52" s="16"/>
      <x:c r="E52" s="16"/>
      <x:c r="F52" s="22"/>
      <x:c r="G52" s="22"/>
    </x:row>
    <x:row r="53">
      <x:c r="A53" s="21" t="str">
        <x:v>案例／科目／期間</x:v>
      </x:c>
      <x:c r="B53" s="21" t="str">
        <x:v>報表值</x:v>
      </x:c>
      <x:c r="C53" s="21" t="str">
        <x:v>原始值</x:v>
      </x:c>
      <x:c r="D53" s="21" t="str">
        <x:v>來源金額單位</x:v>
      </x:c>
      <x:c r="E53" s="21" t="str">
        <x:v>狀態</x:v>
      </x:c>
      <x:c r="F53" s="17" t="str">
        <x:v>定義／限制</x:v>
      </x:c>
      <x:c r="G53" s="17" t="str">
        <x:v>來源儲存格／證據</x:v>
      </x:c>
    </x:row>
    <x:row r="54">
      <x:c r="A54" s="16" t="str">
        <x:v>Year/revenue/fy_t_minus_3</x:v>
      </x:c>
      <x:c r="B54" s="18" t="n">
        <x:f>IF(AND(ISNUMBER(C54),ISNUMBER(D54)),C54*D54/1000000,"缺少資料")</x:f>
        <x:v>5211</x:v>
      </x:c>
      <x:c r="C54" s="16" t="n">
        <x:v>5211000</x:v>
      </x:c>
      <x:c r="D54" s="16" t="n">
        <x:v>1000</x:v>
      </x:c>
      <x:c r="E54" s="16" t="str">
        <x:v>sourced</x:v>
      </x:c>
      <x:c r="F54" s="22" t="str">
        <x:v>Revenues</x:v>
      </x:c>
      <x:c r="G54" s="22" t="str">
        <x:v>/Users/yuntzuyu/Downloads/e-loan/Year/E-loan YYYY_Nexstar 2025.xls#Report1!D80; label=A80; dates=D6,D76; unit=O4</x:v>
      </x:c>
    </x:row>
    <x:row r="55">
      <x:c r="A55" s="16" t="str">
        <x:v>Year/revenue/fy_t_minus_2</x:v>
      </x:c>
      <x:c r="B55" s="18" t="n">
        <x:f>IF(AND(ISNUMBER(C55),ISNUMBER(D55)),C55*D55/1000000,"缺少資料")</x:f>
        <x:v>4933</x:v>
      </x:c>
      <x:c r="C55" s="16" t="n">
        <x:v>4933000</x:v>
      </x:c>
      <x:c r="D55" s="16" t="n">
        <x:v>1000</x:v>
      </x:c>
      <x:c r="E55" s="16" t="str">
        <x:v>sourced</x:v>
      </x:c>
      <x:c r="F55" s="22" t="str">
        <x:v>Revenues</x:v>
      </x:c>
      <x:c r="G55" s="22" t="str">
        <x:v>/Users/yuntzuyu/Downloads/e-loan/Year/E-loan YYYY_Nexstar 2025.xls#Report1!I80; label=A80; dates=I6,I76; unit=O4</x:v>
      </x:c>
    </x:row>
    <x:row r="56">
      <x:c r="A56" s="16" t="str">
        <x:v>Year/revenue/fy_t_minus_1</x:v>
      </x:c>
      <x:c r="B56" s="18" t="n">
        <x:f>IF(AND(ISNUMBER(C56),ISNUMBER(D56)),C56*D56/1000000,"缺少資料")</x:f>
        <x:v>5407</x:v>
      </x:c>
      <x:c r="C56" s="16" t="n">
        <x:v>5407000</x:v>
      </x:c>
      <x:c r="D56" s="16" t="n">
        <x:v>1000</x:v>
      </x:c>
      <x:c r="E56" s="16" t="str">
        <x:v>sourced</x:v>
      </x:c>
      <x:c r="F56" s="22" t="str">
        <x:v>Revenues</x:v>
      </x:c>
      <x:c r="G56" s="22" t="str">
        <x:v>/Users/yuntzuyu/Downloads/e-loan/Year/E-loan YYYY_Nexstar 2025.xls#Report1!M80; label=A80; dates=M6,M76; unit=O4</x:v>
      </x:c>
    </x:row>
    <x:row r="57">
      <x:c r="A57" s="16" t="str">
        <x:v>Year/revenue/fy_t_minus_1</x:v>
      </x:c>
      <x:c r="B57" s="19" t="n">
        <x:f>IF(AND(ISNUMBER(B56),ISNUMBER(B56)),IF(B56=0,"無法計算",B56/B56),"缺少資料")</x:f>
        <x:v>1</x:v>
      </x:c>
      <x:c r="C57" s="16"/>
      <x:c r="D57" s="16"/>
      <x:c r="E57" s="16" t="str">
        <x:v>calculated</x:v>
      </x:c>
      <x:c r="F57" s="22" t="str">
        <x:v>revenue / revenue</x:v>
      </x:c>
      <x:c r="G57" s="22" t="str"/>
    </x:row>
    <x:row r="58">
      <x:c r="A58" s="16" t="str">
        <x:v>Year/revenue/fy_t</x:v>
      </x:c>
      <x:c r="B58" s="18" t="n">
        <x:f>IF(AND(ISNUMBER(C58),ISNUMBER(D58)),C58*D58/1000000,"缺少資料")</x:f>
        <x:v>4949</x:v>
      </x:c>
      <x:c r="C58" s="16" t="n">
        <x:v>4949000</x:v>
      </x:c>
      <x:c r="D58" s="16" t="n">
        <x:v>1000</x:v>
      </x:c>
      <x:c r="E58" s="16" t="str">
        <x:v>sourced</x:v>
      </x:c>
      <x:c r="F58" s="22" t="str">
        <x:v>Revenues</x:v>
      </x:c>
      <x:c r="G58" s="22" t="str">
        <x:v>/Users/yuntzuyu/Downloads/e-loan/Year/E-loan YYYY_Nexstar 2025.xls#Report1!R80; label=A80; dates=R6,R76; unit=O4</x:v>
      </x:c>
    </x:row>
    <x:row r="59">
      <x:c r="A59" s="16" t="str">
        <x:v>Year/revenue/fy_t</x:v>
      </x:c>
      <x:c r="B59" s="19" t="n">
        <x:f>IF(AND(ISNUMBER(B58),ISNUMBER(B58)),IF(B58=0,"無法計算",B58/B58),"缺少資料")</x:f>
        <x:v>1</x:v>
      </x:c>
      <x:c r="C59" s="16"/>
      <x:c r="D59" s="16"/>
      <x:c r="E59" s="16" t="str">
        <x:v>calculated</x:v>
      </x:c>
      <x:c r="F59" s="22" t="str">
        <x:v>revenue / revenue</x:v>
      </x:c>
      <x:c r="G59" s="22" t="str"/>
    </x:row>
    <x:row r="60">
      <x:c r="A60" s="16" t="str">
        <x:v>Year/cost_of_revenue/fy_t_minus_3</x:v>
      </x:c>
      <x:c r="B60" s="18" t="n">
        <x:f>IF(AND(ISNUMBER(C60),ISNUMBER(D60)),C60*D60/1000000,"缺少資料")</x:f>
        <x:v>2005</x:v>
      </x:c>
      <x:c r="C60" s="16" t="n">
        <x:v>2005000</x:v>
      </x:c>
      <x:c r="D60" s="16" t="n">
        <x:v>1000</x:v>
      </x:c>
      <x:c r="E60" s="16" t="str">
        <x:v>sourced</x:v>
      </x:c>
      <x:c r="F60" s="22" t="str">
        <x:v>Operating Cost</x:v>
      </x:c>
      <x:c r="G60" s="22" t="str">
        <x:v>/Users/yuntzuyu/Downloads/e-loan/Year/E-loan YYYY_Nexstar 2025.xls#Report1!D86; label=A86; dates=D6,D76; unit=O4</x:v>
      </x:c>
    </x:row>
    <x:row r="61">
      <x:c r="A61" s="16" t="str">
        <x:v>Year/cost_of_revenue/fy_t_minus_2</x:v>
      </x:c>
      <x:c r="B61" s="18" t="n">
        <x:f>IF(AND(ISNUMBER(C61),ISNUMBER(D61)),C61*D61/1000000,"缺少資料")</x:f>
        <x:v>2153</x:v>
      </x:c>
      <x:c r="C61" s="16" t="n">
        <x:v>2153000</x:v>
      </x:c>
      <x:c r="D61" s="16" t="n">
        <x:v>1000</x:v>
      </x:c>
      <x:c r="E61" s="16" t="str">
        <x:v>sourced</x:v>
      </x:c>
      <x:c r="F61" s="22" t="str">
        <x:v>Operating Cost</x:v>
      </x:c>
      <x:c r="G61" s="22" t="str">
        <x:v>/Users/yuntzuyu/Downloads/e-loan/Year/E-loan YYYY_Nexstar 2025.xls#Report1!I86; label=A86; dates=I6,I76; unit=O4</x:v>
      </x:c>
    </x:row>
    <x:row r="62">
      <x:c r="A62" s="16" t="str">
        <x:v>Year/cost_of_revenue/fy_t_minus_1</x:v>
      </x:c>
      <x:c r="B62" s="18" t="n">
        <x:f>IF(AND(ISNUMBER(C62),ISNUMBER(D62)),C62*D62/1000000,"缺少資料")</x:f>
        <x:v>2221</x:v>
      </x:c>
      <x:c r="C62" s="16" t="n">
        <x:v>2221000</x:v>
      </x:c>
      <x:c r="D62" s="16" t="n">
        <x:v>1000</x:v>
      </x:c>
      <x:c r="E62" s="16" t="str">
        <x:v>sourced</x:v>
      </x:c>
      <x:c r="F62" s="22" t="str">
        <x:v>Operating Cost</x:v>
      </x:c>
      <x:c r="G62" s="22" t="str">
        <x:v>/Users/yuntzuyu/Downloads/e-loan/Year/E-loan YYYY_Nexstar 2025.xls#Report1!M86; label=A86; dates=M6,M76; unit=O4</x:v>
      </x:c>
    </x:row>
    <x:row r="63">
      <x:c r="A63" s="16" t="str">
        <x:v>Year/cost_of_revenue/fy_t_minus_1</x:v>
      </x:c>
      <x:c r="B63" s="19" t="n">
        <x:f>IF(AND(ISNUMBER(B62),ISNUMBER(B56)),IF(B56=0,"無法計算",B62/B56),"缺少資料")</x:f>
        <x:v>0.41076382467172184</x:v>
      </x:c>
      <x:c r="C63" s="16"/>
      <x:c r="D63" s="16"/>
      <x:c r="E63" s="16" t="str">
        <x:v>calculated</x:v>
      </x:c>
      <x:c r="F63" s="22" t="str">
        <x:v>cost_of_revenue / revenue</x:v>
      </x:c>
      <x:c r="G63" s="22" t="str"/>
    </x:row>
    <x:row r="64">
      <x:c r="A64" s="16" t="str">
        <x:v>Year/cost_of_revenue/fy_t</x:v>
      </x:c>
      <x:c r="B64" s="18" t="n">
        <x:f>IF(AND(ISNUMBER(C64),ISNUMBER(D64)),C64*D64/1000000,"缺少資料")</x:f>
        <x:v>2235</x:v>
      </x:c>
      <x:c r="C64" s="16" t="n">
        <x:v>2235000</x:v>
      </x:c>
      <x:c r="D64" s="16" t="n">
        <x:v>1000</x:v>
      </x:c>
      <x:c r="E64" s="16" t="str">
        <x:v>sourced</x:v>
      </x:c>
      <x:c r="F64" s="22" t="str">
        <x:v>Operating Cost</x:v>
      </x:c>
      <x:c r="G64" s="22" t="str">
        <x:v>/Users/yuntzuyu/Downloads/e-loan/Year/E-loan YYYY_Nexstar 2025.xls#Report1!R86; label=A86; dates=R6,R76; unit=O4</x:v>
      </x:c>
    </x:row>
    <x:row r="65">
      <x:c r="A65" s="16" t="str">
        <x:v>Year/cost_of_revenue/fy_t</x:v>
      </x:c>
      <x:c r="B65" s="19" t="n">
        <x:f>IF(AND(ISNUMBER(B64),ISNUMBER(B58)),IF(B58=0,"無法計算",B64/B58),"缺少資料")</x:f>
        <x:v>0.45160638512830875</x:v>
      </x:c>
      <x:c r="C65" s="16"/>
      <x:c r="D65" s="16"/>
      <x:c r="E65" s="16" t="str">
        <x:v>calculated</x:v>
      </x:c>
      <x:c r="F65" s="22" t="str">
        <x:v>cost_of_revenue / revenue</x:v>
      </x:c>
      <x:c r="G65" s="22" t="str"/>
    </x:row>
    <x:row r="66">
      <x:c r="A66" s="16" t="str">
        <x:v>Year/gross_profit/fy_t_minus_3</x:v>
      </x:c>
      <x:c r="B66" s="18" t="n">
        <x:f>IF(AND(ISNUMBER(C66),ISNUMBER(D66)),C66*D66/1000000,"缺少資料")</x:f>
        <x:v>3206</x:v>
      </x:c>
      <x:c r="C66" s="16" t="n">
        <x:v>3206000</x:v>
      </x:c>
      <x:c r="D66" s="16" t="n">
        <x:v>1000</x:v>
      </x:c>
      <x:c r="E66" s="16" t="str">
        <x:v>sourced</x:v>
      </x:c>
      <x:c r="F66" s="22" t="str">
        <x:v>Gross Profit</x:v>
      </x:c>
      <x:c r="G66" s="22" t="str">
        <x:v>/Users/yuntzuyu/Downloads/e-loan/Year/E-loan YYYY_Nexstar 2025.xls#Report1!D94; label=A94; dates=D6,D76; unit=O4</x:v>
      </x:c>
    </x:row>
    <x:row r="67">
      <x:c r="A67" s="16" t="str">
        <x:v>Year/gross_profit/fy_t_minus_2</x:v>
      </x:c>
      <x:c r="B67" s="18" t="n">
        <x:f>IF(AND(ISNUMBER(C67),ISNUMBER(D67)),C67*D67/1000000,"缺少資料")</x:f>
        <x:v>2780</x:v>
      </x:c>
      <x:c r="C67" s="16" t="n">
        <x:v>2780000</x:v>
      </x:c>
      <x:c r="D67" s="16" t="n">
        <x:v>1000</x:v>
      </x:c>
      <x:c r="E67" s="16" t="str">
        <x:v>sourced</x:v>
      </x:c>
      <x:c r="F67" s="22" t="str">
        <x:v>Gross Profit</x:v>
      </x:c>
      <x:c r="G67" s="22" t="str">
        <x:v>/Users/yuntzuyu/Downloads/e-loan/Year/E-loan YYYY_Nexstar 2025.xls#Report1!I94; label=A94; dates=I6,I76; unit=O4</x:v>
      </x:c>
    </x:row>
    <x:row r="68">
      <x:c r="A68" s="16" t="str">
        <x:v>Year/gross_profit/fy_t_minus_1</x:v>
      </x:c>
      <x:c r="B68" s="18" t="n">
        <x:f>IF(AND(ISNUMBER(C68),ISNUMBER(D68)),C68*D68/1000000,"缺少資料")</x:f>
        <x:v>3186</x:v>
      </x:c>
      <x:c r="C68" s="16" t="n">
        <x:v>3186000</x:v>
      </x:c>
      <x:c r="D68" s="16" t="n">
        <x:v>1000</x:v>
      </x:c>
      <x:c r="E68" s="16" t="str">
        <x:v>sourced</x:v>
      </x:c>
      <x:c r="F68" s="22" t="str">
        <x:v>Gross Profit</x:v>
      </x:c>
      <x:c r="G68" s="22" t="str">
        <x:v>/Users/yuntzuyu/Downloads/e-loan/Year/E-loan YYYY_Nexstar 2025.xls#Report1!M94; label=A94; dates=M6,M76; unit=O4</x:v>
      </x:c>
    </x:row>
    <x:row r="69">
      <x:c r="A69" s="16" t="str">
        <x:v>Year/gross_profit/fy_t_minus_1</x:v>
      </x:c>
      <x:c r="B69" s="19" t="n">
        <x:f>IF(AND(ISNUMBER(B68),ISNUMBER(B56)),IF(B56=0,"無法計算",B68/B56),"缺少資料")</x:f>
        <x:v>0.5892361753282782</x:v>
      </x:c>
      <x:c r="C69" s="16"/>
      <x:c r="D69" s="16"/>
      <x:c r="E69" s="16" t="str">
        <x:v>calculated</x:v>
      </x:c>
      <x:c r="F69" s="22" t="str">
        <x:v>gross_profit / revenue</x:v>
      </x:c>
      <x:c r="G69" s="22" t="str"/>
    </x:row>
    <x:row r="70">
      <x:c r="A70" s="16" t="str">
        <x:v>Year/gross_profit/fy_t</x:v>
      </x:c>
      <x:c r="B70" s="18" t="n">
        <x:f>IF(AND(ISNUMBER(C70),ISNUMBER(D70)),C70*D70/1000000,"缺少資料")</x:f>
        <x:v>2714</x:v>
      </x:c>
      <x:c r="C70" s="16" t="n">
        <x:v>2714000</x:v>
      </x:c>
      <x:c r="D70" s="16" t="n">
        <x:v>1000</x:v>
      </x:c>
      <x:c r="E70" s="16" t="str">
        <x:v>sourced</x:v>
      </x:c>
      <x:c r="F70" s="22" t="str">
        <x:v>Gross Profit</x:v>
      </x:c>
      <x:c r="G70" s="22" t="str">
        <x:v>/Users/yuntzuyu/Downloads/e-loan/Year/E-loan YYYY_Nexstar 2025.xls#Report1!R94; label=A94; dates=R6,R76; unit=O4</x:v>
      </x:c>
    </x:row>
    <x:row r="71">
      <x:c r="A71" s="16" t="str">
        <x:v>Year/gross_profit/fy_t</x:v>
      </x:c>
      <x:c r="B71" s="19" t="n">
        <x:f>IF(AND(ISNUMBER(B70),ISNUMBER(B58)),IF(B58=0,"無法計算",B70/B58),"缺少資料")</x:f>
        <x:v>0.5483936148716912</x:v>
      </x:c>
      <x:c r="C71" s="16"/>
      <x:c r="D71" s="16"/>
      <x:c r="E71" s="16" t="str">
        <x:v>calculated</x:v>
      </x:c>
      <x:c r="F71" s="22" t="str">
        <x:v>gross_profit / revenue</x:v>
      </x:c>
      <x:c r="G71" s="22" t="str"/>
    </x:row>
    <x:row r="72">
      <x:c r="A72" s="16" t="str">
        <x:v>Year/operating_expense/fy_t_minus_3</x:v>
      </x:c>
      <x:c r="B72" s="18" t="str">
        <x:v>無法計算／待確認</x:v>
      </x:c>
      <x:c r="C72" s="16"/>
      <x:c r="D72" s="16"/>
      <x:c r="E72" s="16" t="str">
        <x:v>無法計算／待確認</x:v>
      </x:c>
      <x:c r="F72" s="22" t="str">
        <x:v>Operating Expense 包含／排除COGS及完整範圍未核實；原值保留於來源清單</x:v>
      </x:c>
      <x:c r="G72" s="22" t="str">
        <x:v>/Users/yuntzuyu/Downloads/e-loan/Year/E-loan YYYY_Nexstar 2025.xls#Report1!D96; label=A96; dates=D6,D76; unit=O4</x:v>
      </x:c>
    </x:row>
    <x:row r="73">
      <x:c r="A73" s="16" t="str">
        <x:v>Year/operating_expense/fy_t_minus_2</x:v>
      </x:c>
      <x:c r="B73" s="18" t="str">
        <x:v>無法計算／待確認</x:v>
      </x:c>
      <x:c r="C73" s="16"/>
      <x:c r="D73" s="16"/>
      <x:c r="E73" s="16" t="str">
        <x:v>無法計算／待確認</x:v>
      </x:c>
      <x:c r="F73" s="22" t="str">
        <x:v>Operating Expense 包含／排除COGS及完整範圍未核實；原值保留於來源清單</x:v>
      </x:c>
      <x:c r="G73" s="22" t="str">
        <x:v>/Users/yuntzuyu/Downloads/e-loan/Year/E-loan YYYY_Nexstar 2025.xls#Report1!I96; label=A96; dates=I6,I76; unit=O4</x:v>
      </x:c>
    </x:row>
    <x:row r="74">
      <x:c r="A74" s="16" t="str">
        <x:v>Year/operating_expense/fy_t_minus_1</x:v>
      </x:c>
      <x:c r="B74" s="18" t="str">
        <x:v>無法計算／待確認</x:v>
      </x:c>
      <x:c r="C74" s="16"/>
      <x:c r="D74" s="16"/>
      <x:c r="E74" s="16" t="str">
        <x:v>無法計算／待確認</x:v>
      </x:c>
      <x:c r="F74" s="22" t="str">
        <x:v>Operating Expense 包含／排除COGS及完整範圍未核實；原值保留於來源清單</x:v>
      </x:c>
      <x:c r="G74" s="22" t="str">
        <x:v>/Users/yuntzuyu/Downloads/e-loan/Year/E-loan YYYY_Nexstar 2025.xls#Report1!M96; label=A96; dates=M6,M76; unit=O4</x:v>
      </x:c>
    </x:row>
    <x:row r="75">
      <x:c r="A75" s="16" t="str">
        <x:v>Year/operating_expense/fy_t_minus_1</x:v>
      </x:c>
      <x:c r="B75" s="19" t="str">
        <x:v>無法計算／待確認</x:v>
      </x:c>
      <x:c r="C75" s="16"/>
      <x:c r="D75" s="16"/>
      <x:c r="E75" s="16" t="str">
        <x:v>無法計算／待確認</x:v>
      </x:c>
      <x:c r="F75" s="22" t="str">
        <x:v>Required inputs unavailable</x:v>
      </x:c>
      <x:c r="G75" s="22" t="str"/>
    </x:row>
    <x:row r="76">
      <x:c r="A76" s="16" t="str">
        <x:v>Year/operating_expense/fy_t</x:v>
      </x:c>
      <x:c r="B76" s="18" t="str">
        <x:v>無法計算／待確認</x:v>
      </x:c>
      <x:c r="C76" s="16"/>
      <x:c r="D76" s="16"/>
      <x:c r="E76" s="16" t="str">
        <x:v>無法計算／待確認</x:v>
      </x:c>
      <x:c r="F76" s="22" t="str">
        <x:v>Operating Expense 包含／排除COGS及完整範圍未核實；原值保留於來源清單</x:v>
      </x:c>
      <x:c r="G76" s="22" t="str">
        <x:v>/Users/yuntzuyu/Downloads/e-loan/Year/E-loan YYYY_Nexstar 2025.xls#Report1!R96; label=A96; dates=R6,R76; unit=O4</x:v>
      </x:c>
    </x:row>
    <x:row r="77">
      <x:c r="A77" s="16" t="str">
        <x:v>Year/operating_expense/fy_t</x:v>
      </x:c>
      <x:c r="B77" s="19" t="str">
        <x:v>無法計算／待確認</x:v>
      </x:c>
      <x:c r="C77" s="16"/>
      <x:c r="D77" s="16"/>
      <x:c r="E77" s="16" t="str">
        <x:v>無法計算／待確認</x:v>
      </x:c>
      <x:c r="F77" s="22" t="str">
        <x:v>Required inputs unavailable</x:v>
      </x:c>
      <x:c r="G77" s="22" t="str"/>
    </x:row>
    <x:row r="78">
      <x:c r="A78" s="16" t="str">
        <x:v>Year/operating_income/fy_t_minus_3</x:v>
      </x:c>
      <x:c r="B78" s="18" t="n">
        <x:f>IF(AND(ISNUMBER(C78),ISNUMBER(D78)),C78*D78/1000000,"缺少資料")</x:f>
        <x:v>1312.1</x:v>
      </x:c>
      <x:c r="C78" s="16" t="n">
        <x:v>1312100</x:v>
      </x:c>
      <x:c r="D78" s="16" t="n">
        <x:v>1000</x:v>
      </x:c>
      <x:c r="E78" s="16" t="str">
        <x:v>sourced</x:v>
      </x:c>
      <x:c r="F78" s="22" t="str">
        <x:v>Operating Profit</x:v>
      </x:c>
      <x:c r="G78" s="22" t="str">
        <x:v>/Users/yuntzuyu/Downloads/e-loan/Year/E-loan YYYY_Nexstar 2025.xls#Report1!D97; label=A97; dates=D6,D76; unit=O4</x:v>
      </x:c>
    </x:row>
    <x:row r="79">
      <x:c r="A79" s="16" t="str">
        <x:v>Year/operating_income/fy_t_minus_2</x:v>
      </x:c>
      <x:c r="B79" s="18" t="n">
        <x:f>IF(AND(ISNUMBER(C79),ISNUMBER(D79)),C79*D79/1000000,"缺少資料")</x:f>
        <x:v>708</x:v>
      </x:c>
      <x:c r="C79" s="16" t="n">
        <x:v>708000</x:v>
      </x:c>
      <x:c r="D79" s="16" t="n">
        <x:v>1000</x:v>
      </x:c>
      <x:c r="E79" s="16" t="str">
        <x:v>sourced</x:v>
      </x:c>
      <x:c r="F79" s="22" t="str">
        <x:v>Operating Profit</x:v>
      </x:c>
      <x:c r="G79" s="22" t="str">
        <x:v>/Users/yuntzuyu/Downloads/e-loan/Year/E-loan YYYY_Nexstar 2025.xls#Report1!I97; label=A97; dates=I6,I76; unit=O4</x:v>
      </x:c>
    </x:row>
    <x:row r="80">
      <x:c r="A80" s="16" t="str">
        <x:v>Year/operating_income/fy_t_minus_1</x:v>
      </x:c>
      <x:c r="B80" s="18" t="n">
        <x:f>IF(AND(ISNUMBER(C80),ISNUMBER(D80)),C80*D80/1000000,"缺少資料")</x:f>
        <x:v>1268</x:v>
      </x:c>
      <x:c r="C80" s="16" t="n">
        <x:v>1268000</x:v>
      </x:c>
      <x:c r="D80" s="16" t="n">
        <x:v>1000</x:v>
      </x:c>
      <x:c r="E80" s="16" t="str">
        <x:v>sourced</x:v>
      </x:c>
      <x:c r="F80" s="22" t="str">
        <x:v>Operating Profit</x:v>
      </x:c>
      <x:c r="G80" s="22" t="str">
        <x:v>/Users/yuntzuyu/Downloads/e-loan/Year/E-loan YYYY_Nexstar 2025.xls#Report1!M97; label=A97; dates=M6,M76; unit=O4</x:v>
      </x:c>
    </x:row>
    <x:row r="81">
      <x:c r="A81" s="16" t="str">
        <x:v>Year/operating_income/fy_t_minus_1</x:v>
      </x:c>
      <x:c r="B81" s="19" t="n">
        <x:f>IF(AND(ISNUMBER(B80),ISNUMBER(B56)),IF(B56=0,"無法計算",B80/B56),"缺少資料")</x:f>
        <x:v>0.23451081930830406</x:v>
      </x:c>
      <x:c r="C81" s="16"/>
      <x:c r="D81" s="16"/>
      <x:c r="E81" s="16" t="str">
        <x:v>calculated</x:v>
      </x:c>
      <x:c r="F81" s="22" t="str">
        <x:v>operating_income / revenue</x:v>
      </x:c>
      <x:c r="G81" s="22" t="str"/>
    </x:row>
    <x:row r="82">
      <x:c r="A82" s="16" t="str">
        <x:v>Year/operating_income/fy_t</x:v>
      </x:c>
      <x:c r="B82" s="18" t="n">
        <x:f>IF(AND(ISNUMBER(C82),ISNUMBER(D82)),C82*D82/1000000,"缺少資料")</x:f>
        <x:v>849</x:v>
      </x:c>
      <x:c r="C82" s="16" t="n">
        <x:v>849000</x:v>
      </x:c>
      <x:c r="D82" s="16" t="n">
        <x:v>1000</x:v>
      </x:c>
      <x:c r="E82" s="16" t="str">
        <x:v>sourced</x:v>
      </x:c>
      <x:c r="F82" s="22" t="str">
        <x:v>Operating Profit</x:v>
      </x:c>
      <x:c r="G82" s="22" t="str">
        <x:v>/Users/yuntzuyu/Downloads/e-loan/Year/E-loan YYYY_Nexstar 2025.xls#Report1!R97; label=A97; dates=R6,R76; unit=O4</x:v>
      </x:c>
    </x:row>
    <x:row r="83">
      <x:c r="A83" s="16" t="str">
        <x:v>Year/operating_income/fy_t</x:v>
      </x:c>
      <x:c r="B83" s="19" t="n">
        <x:f>IF(AND(ISNUMBER(B82),ISNUMBER(B58)),IF(B58=0,"無法計算",B82/B58),"缺少資料")</x:f>
        <x:v>0.17154980804202868</x:v>
      </x:c>
      <x:c r="C83" s="16"/>
      <x:c r="D83" s="16"/>
      <x:c r="E83" s="16" t="str">
        <x:v>calculated</x:v>
      </x:c>
      <x:c r="F83" s="22" t="str">
        <x:v>operating_income / revenue</x:v>
      </x:c>
      <x:c r="G83" s="22" t="str"/>
    </x:row>
    <x:row r="84">
      <x:c r="A84" s="16" t="str">
        <x:v>Year/interest_expense/fy_t_minus_3</x:v>
      </x:c>
      <x:c r="B84" s="18" t="str">
        <x:v>無法計算／待確認</x:v>
      </x:c>
      <x:c r="C84" s="16"/>
      <x:c r="D84" s="16"/>
      <x:c r="E84" s="16" t="str">
        <x:v>無法計算／待確認</x:v>
      </x:c>
      <x:c r="F84" s="22" t="str">
        <x:v>Approved policy; company-specific source definition not yet verified; candidate retained</x:v>
      </x:c>
      <x:c r="G84" s="22" t="str">
        <x:v>/Users/yuntzuyu/Downloads/e-loan/Year/E-loan YYYY_Nexstar 2025.xls#Report1!D106; label=A106; dates=D6,D76; unit=O4</x:v>
      </x:c>
    </x:row>
    <x:row r="85">
      <x:c r="A85" s="16" t="str">
        <x:v>Year/interest_expense/fy_t_minus_2</x:v>
      </x:c>
      <x:c r="B85" s="18" t="str">
        <x:v>無法計算／待確認</x:v>
      </x:c>
      <x:c r="C85" s="16"/>
      <x:c r="D85" s="16"/>
      <x:c r="E85" s="16" t="str">
        <x:v>無法計算／待確認</x:v>
      </x:c>
      <x:c r="F85" s="22" t="str">
        <x:v>Approved policy; company-specific source definition not yet verified; candidate retained</x:v>
      </x:c>
      <x:c r="G85" s="22" t="str">
        <x:v>/Users/yuntzuyu/Downloads/e-loan/Year/E-loan YYYY_Nexstar 2025.xls#Report1!I106; label=A106; dates=I6,I76; unit=O4</x:v>
      </x:c>
    </x:row>
    <x:row r="86">
      <x:c r="A86" s="16" t="str">
        <x:v>Year/interest_expense/fy_t_minus_1</x:v>
      </x:c>
      <x:c r="B86" s="18" t="str">
        <x:v>無法計算／待確認</x:v>
      </x:c>
      <x:c r="C86" s="16"/>
      <x:c r="D86" s="16"/>
      <x:c r="E86" s="16" t="str">
        <x:v>無法計算／待確認</x:v>
      </x:c>
      <x:c r="F86" s="22" t="str">
        <x:v>Approved policy; company-specific source definition not yet verified; candidate retained</x:v>
      </x:c>
      <x:c r="G86" s="22" t="str">
        <x:v>/Users/yuntzuyu/Downloads/e-loan/Year/E-loan YYYY_Nexstar 2025.xls#Report1!M106; label=A106; dates=M6,M76; unit=O4</x:v>
      </x:c>
    </x:row>
    <x:row r="87">
      <x:c r="A87" s="16" t="str">
        <x:v>Year/interest_expense/fy_t_minus_1</x:v>
      </x:c>
      <x:c r="B87" s="19" t="str">
        <x:v>無法計算／待確認</x:v>
      </x:c>
      <x:c r="C87" s="16"/>
      <x:c r="D87" s="16"/>
      <x:c r="E87" s="16" t="str">
        <x:v>無法計算／待確認</x:v>
      </x:c>
      <x:c r="F87" s="22" t="str">
        <x:v>Required inputs unavailable</x:v>
      </x:c>
      <x:c r="G87" s="22" t="str"/>
    </x:row>
    <x:row r="88">
      <x:c r="A88" s="16" t="str">
        <x:v>Year/interest_expense/fy_t</x:v>
      </x:c>
      <x:c r="B88" s="18" t="str">
        <x:v>無法計算／待確認</x:v>
      </x:c>
      <x:c r="C88" s="16"/>
      <x:c r="D88" s="16"/>
      <x:c r="E88" s="16" t="str">
        <x:v>無法計算／待確認</x:v>
      </x:c>
      <x:c r="F88" s="22" t="str">
        <x:v>Approved policy; company-specific source definition not yet verified; candidate retained</x:v>
      </x:c>
      <x:c r="G88" s="22" t="str">
        <x:v>/Users/yuntzuyu/Downloads/e-loan/Year/E-loan YYYY_Nexstar 2025.xls#Report1!R106; label=A106; dates=R6,R76; unit=O4</x:v>
      </x:c>
    </x:row>
    <x:row r="89">
      <x:c r="A89" s="16" t="str">
        <x:v>Year/interest_expense/fy_t</x:v>
      </x:c>
      <x:c r="B89" s="19" t="str">
        <x:v>無法計算／待確認</x:v>
      </x:c>
      <x:c r="C89" s="16"/>
      <x:c r="D89" s="16"/>
      <x:c r="E89" s="16" t="str">
        <x:v>無法計算／待確認</x:v>
      </x:c>
      <x:c r="F89" s="22" t="str">
        <x:v>Required inputs unavailable</x:v>
      </x:c>
      <x:c r="G89" s="22" t="str"/>
    </x:row>
    <x:row r="90">
      <x:c r="A90" s="16" t="str">
        <x:v>Year/pretax_profit/fy_t_minus_3</x:v>
      </x:c>
      <x:c r="B90" s="18" t="n">
        <x:f>IF(AND(ISNUMBER(C90),ISNUMBER(D90)),C90*D90/1000000,"缺少資料")</x:f>
        <x:v>1217.1</x:v>
      </x:c>
      <x:c r="C90" s="16" t="n">
        <x:v>1217100</x:v>
      </x:c>
      <x:c r="D90" s="16" t="n">
        <x:v>1000</x:v>
      </x:c>
      <x:c r="E90" s="16" t="str">
        <x:v>sourced</x:v>
      </x:c>
      <x:c r="F90" s="22" t="str">
        <x:v>Pre-tax Profit (Loss)</x:v>
      </x:c>
      <x:c r="G90" s="22" t="str">
        <x:v>/Users/yuntzuyu/Downloads/e-loan/Year/E-loan YYYY_Nexstar 2025.xls#Report1!D111; label=A111; dates=D6,D76; unit=O4</x:v>
      </x:c>
    </x:row>
    <x:row r="91">
      <x:c r="A91" s="16" t="str">
        <x:v>Year/pretax_profit/fy_t_minus_2</x:v>
      </x:c>
      <x:c r="B91" s="18" t="n">
        <x:f>IF(AND(ISNUMBER(C91),ISNUMBER(D91)),C91*D91/1000000,"缺少資料")</x:f>
        <x:v>401</x:v>
      </x:c>
      <x:c r="C91" s="16" t="n">
        <x:v>401000</x:v>
      </x:c>
      <x:c r="D91" s="16" t="n">
        <x:v>1000</x:v>
      </x:c>
      <x:c r="E91" s="16" t="str">
        <x:v>sourced</x:v>
      </x:c>
      <x:c r="F91" s="22" t="str">
        <x:v>Pre-tax Profit (Loss)</x:v>
      </x:c>
      <x:c r="G91" s="22" t="str">
        <x:v>/Users/yuntzuyu/Downloads/e-loan/Year/E-loan YYYY_Nexstar 2025.xls#Report1!I111; label=A111; dates=I6,I76; unit=O4</x:v>
      </x:c>
    </x:row>
    <x:row r="92">
      <x:c r="A92" s="16" t="str">
        <x:v>Year/pretax_profit/fy_t_minus_1</x:v>
      </x:c>
      <x:c r="B92" s="18" t="n">
        <x:f>IF(AND(ISNUMBER(C92),ISNUMBER(D92)),C92*D92/1000000,"缺少資料")</x:f>
        <x:v>959</x:v>
      </x:c>
      <x:c r="C92" s="16" t="n">
        <x:v>959000</x:v>
      </x:c>
      <x:c r="D92" s="16" t="n">
        <x:v>1000</x:v>
      </x:c>
      <x:c r="E92" s="16" t="str">
        <x:v>sourced</x:v>
      </x:c>
      <x:c r="F92" s="22" t="str">
        <x:v>Pre-tax Profit (Loss)</x:v>
      </x:c>
      <x:c r="G92" s="22" t="str">
        <x:v>/Users/yuntzuyu/Downloads/e-loan/Year/E-loan YYYY_Nexstar 2025.xls#Report1!M111; label=A111; dates=M6,M76; unit=O4</x:v>
      </x:c>
    </x:row>
    <x:row r="93">
      <x:c r="A93" s="16" t="str">
        <x:v>Year/pretax_profit/fy_t_minus_1</x:v>
      </x:c>
      <x:c r="B93" s="19" t="n">
        <x:f>IF(AND(ISNUMBER(B92),ISNUMBER(B56)),IF(B56=0,"無法計算",B92/B56),"缺少資料")</x:f>
        <x:v>0.17736267800998706</x:v>
      </x:c>
      <x:c r="C93" s="16"/>
      <x:c r="D93" s="16"/>
      <x:c r="E93" s="16" t="str">
        <x:v>calculated</x:v>
      </x:c>
      <x:c r="F93" s="22" t="str">
        <x:v>pretax_profit / revenue</x:v>
      </x:c>
      <x:c r="G93" s="22" t="str"/>
    </x:row>
    <x:row r="94">
      <x:c r="A94" s="16" t="str">
        <x:v>Year/pretax_profit/fy_t</x:v>
      </x:c>
      <x:c r="B94" s="18" t="n">
        <x:f>IF(AND(ISNUMBER(C94),ISNUMBER(D94)),C94*D94/1000000,"缺少資料")</x:f>
        <x:v>150</x:v>
      </x:c>
      <x:c r="C94" s="16" t="n">
        <x:v>150000</x:v>
      </x:c>
      <x:c r="D94" s="16" t="n">
        <x:v>1000</x:v>
      </x:c>
      <x:c r="E94" s="16" t="str">
        <x:v>sourced</x:v>
      </x:c>
      <x:c r="F94" s="22" t="str">
        <x:v>Pre-tax Profit (Loss)</x:v>
      </x:c>
      <x:c r="G94" s="22" t="str">
        <x:v>/Users/yuntzuyu/Downloads/e-loan/Year/E-loan YYYY_Nexstar 2025.xls#Report1!R111; label=A111; dates=R6,R76; unit=O4</x:v>
      </x:c>
    </x:row>
    <x:row r="95">
      <x:c r="A95" s="16" t="str">
        <x:v>Year/pretax_profit/fy_t</x:v>
      </x:c>
      <x:c r="B95" s="19" t="n">
        <x:f>IF(AND(ISNUMBER(B94),ISNUMBER(B58)),IF(B58=0,"無法計算",B94/B58),"缺少資料")</x:f>
        <x:v>0.030309153364316024</x:v>
      </x:c>
      <x:c r="C95" s="16"/>
      <x:c r="D95" s="16"/>
      <x:c r="E95" s="16" t="str">
        <x:v>calculated</x:v>
      </x:c>
      <x:c r="F95" s="22" t="str">
        <x:v>pretax_profit / revenue</x:v>
      </x:c>
      <x:c r="G95" s="22" t="str"/>
    </x:row>
    <x:row r="96">
      <x:c r="A96" s="16" t="str">
        <x:v>Year/income_tax/fy_t_minus_3</x:v>
      </x:c>
      <x:c r="B96" s="18" t="n">
        <x:f>IF(AND(ISNUMBER(C96),ISNUMBER(D96)),C96*D96/1000000,"缺少資料")</x:f>
        <x:v>273.6</x:v>
      </x:c>
      <x:c r="C96" s="16" t="n">
        <x:v>273600</x:v>
      </x:c>
      <x:c r="D96" s="16" t="n">
        <x:v>1000</x:v>
      </x:c>
      <x:c r="E96" s="16" t="str">
        <x:v>sourced</x:v>
      </x:c>
      <x:c r="F96" s="22" t="str">
        <x:v>Income Tax Expense(Credit)</x:v>
      </x:c>
      <x:c r="G96" s="22" t="str">
        <x:v>/Users/yuntzuyu/Downloads/e-loan/Year/E-loan YYYY_Nexstar 2025.xls#Report1!D112; label=A112; dates=D6,D76; unit=O4</x:v>
      </x:c>
    </x:row>
    <x:row r="97">
      <x:c r="A97" s="16" t="str">
        <x:v>Year/income_tax/fy_t_minus_2</x:v>
      </x:c>
      <x:c r="B97" s="18" t="n">
        <x:f>IF(AND(ISNUMBER(C97),ISNUMBER(D97)),C97*D97/1000000,"缺少資料")</x:f>
        <x:v>131</x:v>
      </x:c>
      <x:c r="C97" s="16" t="n">
        <x:v>131000</x:v>
      </x:c>
      <x:c r="D97" s="16" t="n">
        <x:v>1000</x:v>
      </x:c>
      <x:c r="E97" s="16" t="str">
        <x:v>sourced</x:v>
      </x:c>
      <x:c r="F97" s="22" t="str">
        <x:v>Income Tax Expense(Credit)</x:v>
      </x:c>
      <x:c r="G97" s="22" t="str">
        <x:v>/Users/yuntzuyu/Downloads/e-loan/Year/E-loan YYYY_Nexstar 2025.xls#Report1!I112; label=A112; dates=I6,I76; unit=O4</x:v>
      </x:c>
    </x:row>
    <x:row r="98">
      <x:c r="A98" s="16" t="str">
        <x:v>Year/income_tax/fy_t_minus_1</x:v>
      </x:c>
      <x:c r="B98" s="18" t="n">
        <x:f>IF(AND(ISNUMBER(C98),ISNUMBER(D98)),C98*D98/1000000,"缺少資料")</x:f>
        <x:v>276</x:v>
      </x:c>
      <x:c r="C98" s="16" t="n">
        <x:v>276000</x:v>
      </x:c>
      <x:c r="D98" s="16" t="n">
        <x:v>1000</x:v>
      </x:c>
      <x:c r="E98" s="16" t="str">
        <x:v>sourced</x:v>
      </x:c>
      <x:c r="F98" s="22" t="str">
        <x:v>Income Tax Expense(Credit)</x:v>
      </x:c>
      <x:c r="G98" s="22" t="str">
        <x:v>/Users/yuntzuyu/Downloads/e-loan/Year/E-loan YYYY_Nexstar 2025.xls#Report1!M112; label=A112; dates=M6,M76; unit=O4</x:v>
      </x:c>
    </x:row>
    <x:row r="99">
      <x:c r="A99" s="16" t="str">
        <x:v>Year/income_tax/fy_t_minus_1</x:v>
      </x:c>
      <x:c r="B99" s="19" t="n">
        <x:f>IF(AND(ISNUMBER(B98),ISNUMBER(B56)),IF(B56=0,"無法計算",B98/B56),"缺少資料")</x:f>
        <x:v>0.05104494174218605</x:v>
      </x:c>
      <x:c r="C99" s="16"/>
      <x:c r="D99" s="16"/>
      <x:c r="E99" s="16" t="str">
        <x:v>calculated</x:v>
      </x:c>
      <x:c r="F99" s="22" t="str">
        <x:v>income_tax / revenue</x:v>
      </x:c>
      <x:c r="G99" s="22" t="str"/>
    </x:row>
    <x:row r="100">
      <x:c r="A100" s="16" t="str">
        <x:v>Year/income_tax/fy_t</x:v>
      </x:c>
      <x:c r="B100" s="18" t="n">
        <x:f>IF(AND(ISNUMBER(C100),ISNUMBER(D100)),C100*D100/1000000,"缺少資料")</x:f>
        <x:v>67</x:v>
      </x:c>
      <x:c r="C100" s="16" t="n">
        <x:v>67000</x:v>
      </x:c>
      <x:c r="D100" s="16" t="n">
        <x:v>1000</x:v>
      </x:c>
      <x:c r="E100" s="16" t="str">
        <x:v>sourced</x:v>
      </x:c>
      <x:c r="F100" s="22" t="str">
        <x:v>Income Tax Expense(Credit)</x:v>
      </x:c>
      <x:c r="G100" s="22" t="str">
        <x:v>/Users/yuntzuyu/Downloads/e-loan/Year/E-loan YYYY_Nexstar 2025.xls#Report1!R112; label=A112; dates=R6,R76; unit=O4</x:v>
      </x:c>
    </x:row>
    <x:row r="101">
      <x:c r="A101" s="16" t="str">
        <x:v>Year/income_tax/fy_t</x:v>
      </x:c>
      <x:c r="B101" s="19" t="n">
        <x:f>IF(AND(ISNUMBER(B100),ISNUMBER(B58)),IF(B58=0,"無法計算",B100/B58),"缺少資料")</x:f>
        <x:v>0.013538088502727823</x:v>
      </x:c>
      <x:c r="C101" s="16"/>
      <x:c r="D101" s="16"/>
      <x:c r="E101" s="16" t="str">
        <x:v>calculated</x:v>
      </x:c>
      <x:c r="F101" s="22" t="str">
        <x:v>income_tax / revenue</x:v>
      </x:c>
      <x:c r="G101" s="22" t="str"/>
    </x:row>
    <x:row r="102">
      <x:c r="A102" s="16" t="str">
        <x:v>Year/net_income/fy_t_minus_3</x:v>
      </x:c>
      <x:c r="B102" s="18" t="n">
        <x:f>IF(AND(ISNUMBER(C102),ISNUMBER(D102)),C102*D102/1000000,"缺少資料")</x:f>
        <x:v>943.5</x:v>
      </x:c>
      <x:c r="C102" s="16" t="n">
        <x:v>943500</x:v>
      </x:c>
      <x:c r="D102" s="16" t="n">
        <x:v>1000</x:v>
      </x:c>
      <x:c r="E102" s="16" t="str">
        <x:v>sourced</x:v>
      </x:c>
      <x:c r="F102" s="22" t="str">
        <x:v>After-tax Net Profit (Loss)</x:v>
      </x:c>
      <x:c r="G102" s="22" t="str">
        <x:v>/Users/yuntzuyu/Downloads/e-loan/Year/E-loan YYYY_Nexstar 2025.xls#Report1!D117; label=A117; dates=D6,D76; unit=O4</x:v>
      </x:c>
    </x:row>
    <x:row r="103">
      <x:c r="A103" s="16" t="str">
        <x:v>Year/net_income/fy_t_minus_2</x:v>
      </x:c>
      <x:c r="B103" s="18" t="n">
        <x:f>IF(AND(ISNUMBER(C103),ISNUMBER(D103)),C103*D103/1000000,"缺少資料")</x:f>
        <x:v>270</x:v>
      </x:c>
      <x:c r="C103" s="16" t="n">
        <x:v>270000</x:v>
      </x:c>
      <x:c r="D103" s="16" t="n">
        <x:v>1000</x:v>
      </x:c>
      <x:c r="E103" s="16" t="str">
        <x:v>sourced</x:v>
      </x:c>
      <x:c r="F103" s="22" t="str">
        <x:v>After-tax Net Profit (Loss)</x:v>
      </x:c>
      <x:c r="G103" s="22" t="str">
        <x:v>/Users/yuntzuyu/Downloads/e-loan/Year/E-loan YYYY_Nexstar 2025.xls#Report1!I117; label=A117; dates=I6,I76; unit=O4</x:v>
      </x:c>
    </x:row>
    <x:row r="104">
      <x:c r="A104" s="16" t="str">
        <x:v>Year/net_income/fy_t_minus_1</x:v>
      </x:c>
      <x:c r="B104" s="18" t="n">
        <x:f>IF(AND(ISNUMBER(C104),ISNUMBER(D104)),C104*D104/1000000,"缺少資料")</x:f>
        <x:v>683</x:v>
      </x:c>
      <x:c r="C104" s="16" t="n">
        <x:v>683000</x:v>
      </x:c>
      <x:c r="D104" s="16" t="n">
        <x:v>1000</x:v>
      </x:c>
      <x:c r="E104" s="16" t="str">
        <x:v>sourced</x:v>
      </x:c>
      <x:c r="F104" s="22" t="str">
        <x:v>After-tax Net Profit (Loss)</x:v>
      </x:c>
      <x:c r="G104" s="22" t="str">
        <x:v>/Users/yuntzuyu/Downloads/e-loan/Year/E-loan YYYY_Nexstar 2025.xls#Report1!M117; label=A117; dates=M6,M76; unit=O4</x:v>
      </x:c>
    </x:row>
    <x:row r="105">
      <x:c r="A105" s="16" t="str">
        <x:v>Year/net_income/fy_t_minus_1</x:v>
      </x:c>
      <x:c r="B105" s="19" t="n">
        <x:f>IF(AND(ISNUMBER(B104),ISNUMBER(B56)),IF(B56=0,"無法計算",B104/B56),"缺少資料")</x:f>
        <x:v>0.126317736267801</x:v>
      </x:c>
      <x:c r="C105" s="16"/>
      <x:c r="D105" s="16"/>
      <x:c r="E105" s="16" t="str">
        <x:v>calculated</x:v>
      </x:c>
      <x:c r="F105" s="22" t="str">
        <x:v>net_income / revenue</x:v>
      </x:c>
      <x:c r="G105" s="22" t="str"/>
    </x:row>
    <x:row r="106">
      <x:c r="A106" s="16" t="str">
        <x:v>Year/net_income/fy_t</x:v>
      </x:c>
      <x:c r="B106" s="18" t="n">
        <x:f>IF(AND(ISNUMBER(C106),ISNUMBER(D106)),C106*D106/1000000,"缺少資料")</x:f>
        <x:v>83</x:v>
      </x:c>
      <x:c r="C106" s="16" t="n">
        <x:v>83000</x:v>
      </x:c>
      <x:c r="D106" s="16" t="n">
        <x:v>1000</x:v>
      </x:c>
      <x:c r="E106" s="16" t="str">
        <x:v>sourced</x:v>
      </x:c>
      <x:c r="F106" s="22" t="str">
        <x:v>After-tax Net Profit (Loss)</x:v>
      </x:c>
      <x:c r="G106" s="22" t="str">
        <x:v>/Users/yuntzuyu/Downloads/e-loan/Year/E-loan YYYY_Nexstar 2025.xls#Report1!R117; label=A117; dates=R6,R76; unit=O4</x:v>
      </x:c>
    </x:row>
    <x:row r="107">
      <x:c r="A107" s="16" t="str">
        <x:v>Year/net_income/fy_t</x:v>
      </x:c>
      <x:c r="B107" s="19" t="n">
        <x:f>IF(AND(ISNUMBER(B106),ISNUMBER(B58)),IF(B58=0,"無法計算",B106/B58),"缺少資料")</x:f>
        <x:v>0.0167710648615882</x:v>
      </x:c>
      <x:c r="C107" s="16"/>
      <x:c r="D107" s="16"/>
      <x:c r="E107" s="16" t="str">
        <x:v>calculated</x:v>
      </x:c>
      <x:c r="F107" s="22" t="str">
        <x:v>net_income / revenue</x:v>
      </x:c>
      <x:c r="G107" s="22" t="str"/>
    </x:row>
    <x:row r="108">
      <x:c r="A108" s="16" t="str">
        <x:v>Year/beginning_cash/fy_t_minus_3</x:v>
      </x:c>
      <x:c r="B108" s="18" t="str">
        <x:v>無法計算／待確認</x:v>
      </x:c>
      <x:c r="C108" s="16"/>
      <x:c r="D108" s="16"/>
      <x:c r="E108" s="16" t="str">
        <x:v>無法計算／待確認</x:v>
      </x:c>
      <x:c r="F108" s="22" t="str">
        <x:v>CF區未重列期間；上方IS期間是否同樣適用及現金定義尚未核實，候選數值保留於來源清單</x:v>
      </x:c>
      <x:c r="G108" s="22" t="str">
        <x:v>/Users/yuntzuyu/Downloads/e-loan/Year/E-loan YYYY_Nexstar 2025.xls#Report1!D129; label=A129; dates=D6,D76; unit=O4</x:v>
      </x:c>
    </x:row>
    <x:row r="109">
      <x:c r="A109" s="16" t="str">
        <x:v>Year/beginning_cash/fy_t_minus_2</x:v>
      </x:c>
      <x:c r="B109" s="18" t="str">
        <x:v>無法計算／待確認</x:v>
      </x:c>
      <x:c r="C109" s="16"/>
      <x:c r="D109" s="16"/>
      <x:c r="E109" s="16" t="str">
        <x:v>無法計算／待確認</x:v>
      </x:c>
      <x:c r="F109" s="22" t="str">
        <x:v>CF區未重列期間；上方IS期間是否同樣適用及現金定義尚未核實，候選數值保留於來源清單</x:v>
      </x:c>
      <x:c r="G109" s="22" t="str">
        <x:v>/Users/yuntzuyu/Downloads/e-loan/Year/E-loan YYYY_Nexstar 2025.xls#Report1!I129; label=A129; dates=I6,I76; unit=O4</x:v>
      </x:c>
    </x:row>
    <x:row r="110">
      <x:c r="A110" s="16" t="str">
        <x:v>Year/beginning_cash/fy_t_minus_1</x:v>
      </x:c>
      <x:c r="B110" s="18" t="str">
        <x:v>無法計算／待確認</x:v>
      </x:c>
      <x:c r="C110" s="16"/>
      <x:c r="D110" s="16"/>
      <x:c r="E110" s="16" t="str">
        <x:v>無法計算／待確認</x:v>
      </x:c>
      <x:c r="F110" s="22" t="str">
        <x:v>CF區未重列期間；上方IS期間是否同樣適用及現金定義尚未核實，候選數值保留於來源清單</x:v>
      </x:c>
      <x:c r="G110" s="22" t="str">
        <x:v>/Users/yuntzuyu/Downloads/e-loan/Year/E-loan YYYY_Nexstar 2025.xls#Report1!M129; label=A129; dates=M6,M76; unit=O4</x:v>
      </x:c>
    </x:row>
    <x:row r="111">
      <x:c r="A111" s="16" t="str">
        <x:v>Year/beginning_cash/fy_t</x:v>
      </x:c>
      <x:c r="B111" s="18" t="str">
        <x:v>無法計算／待確認</x:v>
      </x:c>
      <x:c r="C111" s="16"/>
      <x:c r="D111" s="16"/>
      <x:c r="E111" s="16" t="str">
        <x:v>無法計算／待確認</x:v>
      </x:c>
      <x:c r="F111" s="22" t="str">
        <x:v>CF區未重列期間；上方IS期間是否同樣適用及現金定義尚未核實，候選數值保留於來源清單</x:v>
      </x:c>
      <x:c r="G111" s="22" t="str">
        <x:v>/Users/yuntzuyu/Downloads/e-loan/Year/E-loan YYYY_Nexstar 2025.xls#Report1!R129; label=A129; dates=R6,R76; unit=O4</x:v>
      </x:c>
    </x:row>
    <x:row r="112">
      <x:c r="A112" s="16" t="str">
        <x:v>Year/cfo/fy_t_minus_3</x:v>
      </x:c>
      <x:c r="B112" s="18" t="str">
        <x:v>無法計算／待確認</x:v>
      </x:c>
      <x:c r="C112" s="16"/>
      <x:c r="D112" s="16"/>
      <x:c r="E112" s="16" t="str">
        <x:v>無法計算／待確認</x:v>
      </x:c>
      <x:c r="F112" s="22" t="str">
        <x:v>CF區未重列期間；上方IS期間是否同樣適用及現金定義尚未核實，候選數值保留於來源清單</x:v>
      </x:c>
      <x:c r="G112" s="22" t="str">
        <x:v>/Users/yuntzuyu/Downloads/e-loan/Year/E-loan YYYY_Nexstar 2025.xls#Report1!D159; label=A159; dates=D6,D76; unit=O4</x:v>
      </x:c>
    </x:row>
    <x:row r="113">
      <x:c r="A113" s="16" t="str">
        <x:v>Year/cfo/fy_t_minus_2</x:v>
      </x:c>
      <x:c r="B113" s="18" t="str">
        <x:v>無法計算／待確認</x:v>
      </x:c>
      <x:c r="C113" s="16"/>
      <x:c r="D113" s="16"/>
      <x:c r="E113" s="16" t="str">
        <x:v>無法計算／待確認</x:v>
      </x:c>
      <x:c r="F113" s="22" t="str">
        <x:v>CF區未重列期間；上方IS期間是否同樣適用及現金定義尚未核實，候選數值保留於來源清單</x:v>
      </x:c>
      <x:c r="G113" s="22" t="str">
        <x:v>/Users/yuntzuyu/Downloads/e-loan/Year/E-loan YYYY_Nexstar 2025.xls#Report1!I159; label=A159; dates=I6,I76; unit=O4</x:v>
      </x:c>
    </x:row>
    <x:row r="114">
      <x:c r="A114" s="16" t="str">
        <x:v>Year/cfo/fy_t_minus_1</x:v>
      </x:c>
      <x:c r="B114" s="18" t="str">
        <x:v>無法計算／待確認</x:v>
      </x:c>
      <x:c r="C114" s="16"/>
      <x:c r="D114" s="16"/>
      <x:c r="E114" s="16" t="str">
        <x:v>無法計算／待確認</x:v>
      </x:c>
      <x:c r="F114" s="22" t="str">
        <x:v>CF區未重列期間；上方IS期間是否同樣適用及現金定義尚未核實，候選數值保留於來源清單</x:v>
      </x:c>
      <x:c r="G114" s="22" t="str">
        <x:v>/Users/yuntzuyu/Downloads/e-loan/Year/E-loan YYYY_Nexstar 2025.xls#Report1!M159; label=A159; dates=M6,M76; unit=O4</x:v>
      </x:c>
    </x:row>
    <x:row r="115">
      <x:c r="A115" s="16" t="str">
        <x:v>Year/cfo/fy_t</x:v>
      </x:c>
      <x:c r="B115" s="18" t="str">
        <x:v>無法計算／待確認</x:v>
      </x:c>
      <x:c r="C115" s="16"/>
      <x:c r="D115" s="16"/>
      <x:c r="E115" s="16" t="str">
        <x:v>無法計算／待確認</x:v>
      </x:c>
      <x:c r="F115" s="22" t="str">
        <x:v>CF區未重列期間；上方IS期間是否同樣適用及現金定義尚未核實，候選數值保留於來源清單</x:v>
      </x:c>
      <x:c r="G115" s="22" t="str">
        <x:v>/Users/yuntzuyu/Downloads/e-loan/Year/E-loan YYYY_Nexstar 2025.xls#Report1!R159; label=A159; dates=R6,R76; unit=O4</x:v>
      </x:c>
    </x:row>
    <x:row r="116">
      <x:c r="A116" s="16" t="str">
        <x:v>Year/cfi/fy_t_minus_3</x:v>
      </x:c>
      <x:c r="B116" s="18" t="str">
        <x:v>無法計算／待確認</x:v>
      </x:c>
      <x:c r="C116" s="16"/>
      <x:c r="D116" s="16"/>
      <x:c r="E116" s="16" t="str">
        <x:v>無法計算／待確認</x:v>
      </x:c>
      <x:c r="F116" s="22" t="str">
        <x:v>CF區未重列期間；上方IS期間是否同樣適用及現金定義尚未核實，候選數值保留於來源清單</x:v>
      </x:c>
      <x:c r="G116" s="22" t="str">
        <x:v>/Users/yuntzuyu/Downloads/e-loan/Year/E-loan YYYY_Nexstar 2025.xls#Report1!D173; label=A173; dates=D6,D76; unit=O4</x:v>
      </x:c>
    </x:row>
    <x:row r="117">
      <x:c r="A117" s="16" t="str">
        <x:v>Year/cfi/fy_t_minus_2</x:v>
      </x:c>
      <x:c r="B117" s="18" t="str">
        <x:v>無法計算／待確認</x:v>
      </x:c>
      <x:c r="C117" s="16"/>
      <x:c r="D117" s="16"/>
      <x:c r="E117" s="16" t="str">
        <x:v>無法計算／待確認</x:v>
      </x:c>
      <x:c r="F117" s="22" t="str">
        <x:v>CF區未重列期間；上方IS期間是否同樣適用及現金定義尚未核實，候選數值保留於來源清單</x:v>
      </x:c>
      <x:c r="G117" s="22" t="str">
        <x:v>/Users/yuntzuyu/Downloads/e-loan/Year/E-loan YYYY_Nexstar 2025.xls#Report1!I173; label=A173; dates=I6,I76; unit=O4</x:v>
      </x:c>
    </x:row>
    <x:row r="118">
      <x:c r="A118" s="16" t="str">
        <x:v>Year/cfi/fy_t_minus_1</x:v>
      </x:c>
      <x:c r="B118" s="18" t="str">
        <x:v>無法計算／待確認</x:v>
      </x:c>
      <x:c r="C118" s="16"/>
      <x:c r="D118" s="16"/>
      <x:c r="E118" s="16" t="str">
        <x:v>無法計算／待確認</x:v>
      </x:c>
      <x:c r="F118" s="22" t="str">
        <x:v>CF區未重列期間；上方IS期間是否同樣適用及現金定義尚未核實，候選數值保留於來源清單</x:v>
      </x:c>
      <x:c r="G118" s="22" t="str">
        <x:v>/Users/yuntzuyu/Downloads/e-loan/Year/E-loan YYYY_Nexstar 2025.xls#Report1!M173; label=A173; dates=M6,M76; unit=O4</x:v>
      </x:c>
    </x:row>
    <x:row r="119">
      <x:c r="A119" s="16" t="str">
        <x:v>Year/cfi/fy_t</x:v>
      </x:c>
      <x:c r="B119" s="18" t="str">
        <x:v>無法計算／待確認</x:v>
      </x:c>
      <x:c r="C119" s="16"/>
      <x:c r="D119" s="16"/>
      <x:c r="E119" s="16" t="str">
        <x:v>無法計算／待確認</x:v>
      </x:c>
      <x:c r="F119" s="22" t="str">
        <x:v>CF區未重列期間；上方IS期間是否同樣適用及現金定義尚未核實，候選數值保留於來源清單</x:v>
      </x:c>
      <x:c r="G119" s="22" t="str">
        <x:v>/Users/yuntzuyu/Downloads/e-loan/Year/E-loan YYYY_Nexstar 2025.xls#Report1!R173; label=A173; dates=R6,R76; unit=O4</x:v>
      </x:c>
    </x:row>
    <x:row r="120">
      <x:c r="A120" s="16" t="str">
        <x:v>Year/cff/fy_t_minus_3</x:v>
      </x:c>
      <x:c r="B120" s="18" t="str">
        <x:v>無法計算／待確認</x:v>
      </x:c>
      <x:c r="C120" s="16"/>
      <x:c r="D120" s="16"/>
      <x:c r="E120" s="16" t="str">
        <x:v>無法計算／待確認</x:v>
      </x:c>
      <x:c r="F120" s="22" t="str">
        <x:v>CF區未重列期間；上方IS期間是否同樣適用及現金定義尚未核實，候選數值保留於來源清單</x:v>
      </x:c>
      <x:c r="G120" s="22" t="str">
        <x:v>/Users/yuntzuyu/Downloads/e-loan/Year/E-loan YYYY_Nexstar 2025.xls#Report1!D189; label=A189; dates=D6,D76; unit=O4</x:v>
      </x:c>
    </x:row>
    <x:row r="121">
      <x:c r="A121" s="16" t="str">
        <x:v>Year/cff/fy_t_minus_2</x:v>
      </x:c>
      <x:c r="B121" s="18" t="str">
        <x:v>無法計算／待確認</x:v>
      </x:c>
      <x:c r="C121" s="16"/>
      <x:c r="D121" s="16"/>
      <x:c r="E121" s="16" t="str">
        <x:v>無法計算／待確認</x:v>
      </x:c>
      <x:c r="F121" s="22" t="str">
        <x:v>CF區未重列期間；上方IS期間是否同樣適用及現金定義尚未核實，候選數值保留於來源清單</x:v>
      </x:c>
      <x:c r="G121" s="22" t="str">
        <x:v>/Users/yuntzuyu/Downloads/e-loan/Year/E-loan YYYY_Nexstar 2025.xls#Report1!I189; label=A189; dates=I6,I76; unit=O4</x:v>
      </x:c>
    </x:row>
    <x:row r="122">
      <x:c r="A122" s="16" t="str">
        <x:v>Year/cff/fy_t_minus_1</x:v>
      </x:c>
      <x:c r="B122" s="18" t="str">
        <x:v>無法計算／待確認</x:v>
      </x:c>
      <x:c r="C122" s="16"/>
      <x:c r="D122" s="16"/>
      <x:c r="E122" s="16" t="str">
        <x:v>無法計算／待確認</x:v>
      </x:c>
      <x:c r="F122" s="22" t="str">
        <x:v>CF區未重列期間；上方IS期間是否同樣適用及現金定義尚未核實，候選數值保留於來源清單</x:v>
      </x:c>
      <x:c r="G122" s="22" t="str">
        <x:v>/Users/yuntzuyu/Downloads/e-loan/Year/E-loan YYYY_Nexstar 2025.xls#Report1!M189; label=A189; dates=M6,M76; unit=O4</x:v>
      </x:c>
    </x:row>
    <x:row r="123">
      <x:c r="A123" s="16" t="str">
        <x:v>Year/cff/fy_t</x:v>
      </x:c>
      <x:c r="B123" s="18" t="str">
        <x:v>無法計算／待確認</x:v>
      </x:c>
      <x:c r="C123" s="16"/>
      <x:c r="D123" s="16"/>
      <x:c r="E123" s="16" t="str">
        <x:v>無法計算／待確認</x:v>
      </x:c>
      <x:c r="F123" s="22" t="str">
        <x:v>CF區未重列期間；上方IS期間是否同樣適用及現金定義尚未核實，候選數值保留於來源清單</x:v>
      </x:c>
      <x:c r="G123" s="22" t="str">
        <x:v>/Users/yuntzuyu/Downloads/e-loan/Year/E-loan YYYY_Nexstar 2025.xls#Report1!R189; label=A189; dates=R6,R76; unit=O4</x:v>
      </x:c>
    </x:row>
    <x:row r="124">
      <x:c r="A124" s="16" t="str">
        <x:v>Year/ending_cash/fy_t_minus_3</x:v>
      </x:c>
      <x:c r="B124" s="18" t="str">
        <x:v>無法計算／待確認</x:v>
      </x:c>
      <x:c r="C124" s="16"/>
      <x:c r="D124" s="16"/>
      <x:c r="E124" s="16" t="str">
        <x:v>無法計算／待確認</x:v>
      </x:c>
      <x:c r="F124" s="22" t="str">
        <x:v>CF區未重列期間；上方IS期間是否同樣適用及現金定義尚未核實，候選數值保留於來源清單</x:v>
      </x:c>
      <x:c r="G124" s="22" t="str">
        <x:v>/Users/yuntzuyu/Downloads/e-loan/Year/E-loan YYYY_Nexstar 2025.xls#Report1!D194; label=A194; dates=D6,D76; unit=O4</x:v>
      </x:c>
    </x:row>
    <x:row r="125">
      <x:c r="A125" s="16" t="str">
        <x:v>Year/ending_cash/fy_t_minus_2</x:v>
      </x:c>
      <x:c r="B125" s="18" t="str">
        <x:v>無法計算／待確認</x:v>
      </x:c>
      <x:c r="C125" s="16"/>
      <x:c r="D125" s="16"/>
      <x:c r="E125" s="16" t="str">
        <x:v>無法計算／待確認</x:v>
      </x:c>
      <x:c r="F125" s="22" t="str">
        <x:v>CF區未重列期間；上方IS期間是否同樣適用及現金定義尚未核實，候選數值保留於來源清單</x:v>
      </x:c>
      <x:c r="G125" s="22" t="str">
        <x:v>/Users/yuntzuyu/Downloads/e-loan/Year/E-loan YYYY_Nexstar 2025.xls#Report1!I194; label=A194; dates=I6,I76; unit=O4</x:v>
      </x:c>
    </x:row>
    <x:row r="126">
      <x:c r="A126" s="16" t="str">
        <x:v>Year/ending_cash/fy_t_minus_1</x:v>
      </x:c>
      <x:c r="B126" s="18" t="str">
        <x:v>無法計算／待確認</x:v>
      </x:c>
      <x:c r="C126" s="16"/>
      <x:c r="D126" s="16"/>
      <x:c r="E126" s="16" t="str">
        <x:v>無法計算／待確認</x:v>
      </x:c>
      <x:c r="F126" s="22" t="str">
        <x:v>CF區未重列期間；上方IS期間是否同樣適用及現金定義尚未核實，候選數值保留於來源清單</x:v>
      </x:c>
      <x:c r="G126" s="22" t="str">
        <x:v>/Users/yuntzuyu/Downloads/e-loan/Year/E-loan YYYY_Nexstar 2025.xls#Report1!M194; label=A194; dates=M6,M76; unit=O4</x:v>
      </x:c>
    </x:row>
    <x:row r="127">
      <x:c r="A127" s="16" t="str">
        <x:v>Year/ending_cash/fy_t</x:v>
      </x:c>
      <x:c r="B127" s="18" t="str">
        <x:v>無法計算／待確認</x:v>
      </x:c>
      <x:c r="C127" s="16"/>
      <x:c r="D127" s="16"/>
      <x:c r="E127" s="16" t="str">
        <x:v>無法計算／待確認</x:v>
      </x:c>
      <x:c r="F127" s="22" t="str">
        <x:v>CF區未重列期間；上方IS期間是否同樣適用及現金定義尚未核實，候選數值保留於來源清單</x:v>
      </x:c>
      <x:c r="G127" s="22" t="str">
        <x:v>/Users/yuntzuyu/Downloads/e-loan/Year/E-loan YYYY_Nexstar 2025.xls#Report1!R194; label=A194; dates=R6,R76; unit=O4</x:v>
      </x:c>
    </x:row>
    <x:row r="128">
      <x:c r="A128" s="16" t="str">
        <x:v>Year/cash_change/fy_t_minus_3</x:v>
      </x:c>
      <x:c r="B128" s="18" t="str">
        <x:v>無法計算／待確認</x:v>
      </x:c>
      <x:c r="C128" s="16"/>
      <x:c r="D128" s="16"/>
      <x:c r="E128" s="16" t="str">
        <x:v>無法計算／待確認</x:v>
      </x:c>
      <x:c r="F128" s="22" t="str">
        <x:v>Reviewed same-basis cash reconciliation required; no automatic cash bridge</x:v>
      </x:c>
      <x:c r="G128" s="22" t="str"/>
    </x:row>
    <x:row r="129">
      <x:c r="A129" s="16" t="str">
        <x:v>Year/cash_change/fy_t_minus_2</x:v>
      </x:c>
      <x:c r="B129" s="18" t="str">
        <x:v>無法計算／待確認</x:v>
      </x:c>
      <x:c r="C129" s="16"/>
      <x:c r="D129" s="16"/>
      <x:c r="E129" s="16" t="str">
        <x:v>無法計算／待確認</x:v>
      </x:c>
      <x:c r="F129" s="22" t="str">
        <x:v>Reviewed same-basis cash reconciliation required; no automatic cash bridge</x:v>
      </x:c>
      <x:c r="G129" s="22" t="str"/>
    </x:row>
    <x:row r="130">
      <x:c r="A130" s="16" t="str">
        <x:v>Year/cash_change/fy_t_minus_1</x:v>
      </x:c>
      <x:c r="B130" s="18" t="str">
        <x:v>無法計算／待確認</x:v>
      </x:c>
      <x:c r="C130" s="16"/>
      <x:c r="D130" s="16"/>
      <x:c r="E130" s="16" t="str">
        <x:v>無法計算／待確認</x:v>
      </x:c>
      <x:c r="F130" s="22" t="str">
        <x:v>Reviewed same-basis cash reconciliation required; no automatic cash bridge</x:v>
      </x:c>
      <x:c r="G130" s="22" t="str"/>
    </x:row>
    <x:row r="131">
      <x:c r="A131" s="16" t="str">
        <x:v>Year/cash_change/fy_t</x:v>
      </x:c>
      <x:c r="B131" s="18" t="str">
        <x:v>無法計算／待確認</x:v>
      </x:c>
      <x:c r="C131" s="16"/>
      <x:c r="D131" s="16"/>
      <x:c r="E131" s="16" t="str">
        <x:v>無法計算／待確認</x:v>
      </x:c>
      <x:c r="F131" s="22" t="str">
        <x:v>Reviewed same-basis cash reconciliation required; no automatic cash bridge</x:v>
      </x:c>
      <x:c r="G131" s="22" t="str"/>
    </x:row>
    <x:row r="132">
      <x:c r="A132" s="16" t="str">
        <x:v>Year/current_ratio/fy_t_minus_3</x:v>
      </x:c>
      <x:c r="B132" s="19" t="n">
        <x:f>IF(AND(ISNUMBER(B180),ISNUMBER(B181)),IF(B181=0,"無法計算",B180/B181),"缺少資料")</x:f>
        <x:v>1.8075459023734886</x:v>
      </x:c>
      <x:c r="C132" s="16"/>
      <x:c r="D132" s="16"/>
      <x:c r="E132" s="16" t="str">
        <x:v>calculated</x:v>
      </x:c>
      <x:c r="F132" s="22" t="str">
        <x:v>Current Assets / Current Liabilities</x:v>
      </x:c>
      <x:c r="G132" s="22" t="str"/>
    </x:row>
    <x:row r="133">
      <x:c r="A133" s="16" t="str">
        <x:v>Year/current_ratio/fy_t_minus_2</x:v>
      </x:c>
      <x:c r="B133" s="19" t="n">
        <x:f>IF(AND(ISNUMBER(B187),ISNUMBER(B188)),IF(B188=0,"無法計算",B187/B188),"缺少資料")</x:f>
        <x:v>1.5254942767950053</x:v>
      </x:c>
      <x:c r="C133" s="16"/>
      <x:c r="D133" s="16"/>
      <x:c r="E133" s="16" t="str">
        <x:v>calculated</x:v>
      </x:c>
      <x:c r="F133" s="22" t="str">
        <x:v>Current Assets / Current Liabilities</x:v>
      </x:c>
      <x:c r="G133" s="22" t="str"/>
    </x:row>
    <x:row r="134">
      <x:c r="A134" s="16" t="str">
        <x:v>Year/current_ratio/fy_t_minus_1</x:v>
      </x:c>
      <x:c r="B134" s="19" t="n">
        <x:f>IF(AND(ISNUMBER(B194),ISNUMBER(B195)),IF(B195=0,"無法計算",B194/B195),"缺少資料")</x:f>
        <x:v>1.656449553001277</x:v>
      </x:c>
      <x:c r="C134" s="16"/>
      <x:c r="D134" s="16"/>
      <x:c r="E134" s="16" t="str">
        <x:v>calculated</x:v>
      </x:c>
      <x:c r="F134" s="22" t="str">
        <x:v>Current Assets / Current Liabilities</x:v>
      </x:c>
      <x:c r="G134" s="22" t="str"/>
    </x:row>
    <x:row r="135">
      <x:c r="A135" s="16" t="str">
        <x:v>Year/current_ratio/fy_t</x:v>
      </x:c>
      <x:c r="B135" s="19" t="n">
        <x:f>IF(AND(ISNUMBER(B201),ISNUMBER(B202)),IF(B202=0,"無法計算",B201/B202),"缺少資料")</x:f>
        <x:v>2.071729957805907</x:v>
      </x:c>
      <x:c r="C135" s="16"/>
      <x:c r="D135" s="16"/>
      <x:c r="E135" s="16" t="str">
        <x:v>calculated</x:v>
      </x:c>
      <x:c r="F135" s="22" t="str">
        <x:v>Current Assets / Current Liabilities</x:v>
      </x:c>
      <x:c r="G135" s="22" t="str"/>
    </x:row>
    <x:row r="136">
      <x:c r="A136" s="16" t="str">
        <x:v>Year/quick_ratio/fy_t_minus_3</x:v>
      </x:c>
      <x:c r="B136" s="19" t="str">
        <x:v>無法計算／待確認</x:v>
      </x:c>
      <x:c r="C136" s="16"/>
      <x:c r="D136" s="16"/>
      <x:c r="E136" s="16" t="str">
        <x:v>無法計算／待確認</x:v>
      </x:c>
      <x:c r="F136" s="22" t="str">
        <x:v>Required inputs unavailable</x:v>
      </x:c>
      <x:c r="G136" s="22" t="str"/>
    </x:row>
    <x:row r="137">
      <x:c r="A137" s="16" t="str">
        <x:v>Year/quick_ratio/fy_t_minus_2</x:v>
      </x:c>
      <x:c r="B137" s="19" t="str">
        <x:v>無法計算／待確認</x:v>
      </x:c>
      <x:c r="C137" s="16"/>
      <x:c r="D137" s="16"/>
      <x:c r="E137" s="16" t="str">
        <x:v>無法計算／待確認</x:v>
      </x:c>
      <x:c r="F137" s="22" t="str">
        <x:v>Required inputs unavailable</x:v>
      </x:c>
      <x:c r="G137" s="22" t="str"/>
    </x:row>
    <x:row r="138">
      <x:c r="A138" s="16" t="str">
        <x:v>Year/quick_ratio/fy_t_minus_1</x:v>
      </x:c>
      <x:c r="B138" s="19" t="str">
        <x:v>無法計算／待確認</x:v>
      </x:c>
      <x:c r="C138" s="16"/>
      <x:c r="D138" s="16"/>
      <x:c r="E138" s="16" t="str">
        <x:v>無法計算／待確認</x:v>
      </x:c>
      <x:c r="F138" s="22" t="str">
        <x:v>Required inputs unavailable</x:v>
      </x:c>
      <x:c r="G138" s="22" t="str"/>
    </x:row>
    <x:row r="139">
      <x:c r="A139" s="16" t="str">
        <x:v>Year/quick_ratio/fy_t</x:v>
      </x:c>
      <x:c r="B139" s="19" t="str">
        <x:v>無法計算／待確認</x:v>
      </x:c>
      <x:c r="C139" s="16"/>
      <x:c r="D139" s="16"/>
      <x:c r="E139" s="16" t="str">
        <x:v>無法計算／待確認</x:v>
      </x:c>
      <x:c r="F139" s="22" t="str">
        <x:v>Required inputs unavailable</x:v>
      </x:c>
      <x:c r="G139" s="22" t="str"/>
    </x:row>
    <x:row r="140">
      <x:c r="A140" s="16" t="str">
        <x:v>Year/cash_flow_ratio/fy_t_minus_3</x:v>
      </x:c>
      <x:c r="B140" s="19" t="str">
        <x:v>無法計算／待確認</x:v>
      </x:c>
      <x:c r="C140" s="16"/>
      <x:c r="D140" s="16"/>
      <x:c r="E140" s="16" t="str">
        <x:v>無法計算／待確認</x:v>
      </x:c>
      <x:c r="F140" s="22" t="str">
        <x:v>Required inputs unavailable</x:v>
      </x:c>
      <x:c r="G140" s="22" t="str"/>
    </x:row>
    <x:row r="141">
      <x:c r="A141" s="16" t="str">
        <x:v>Year/cash_flow_ratio/fy_t_minus_2</x:v>
      </x:c>
      <x:c r="B141" s="19" t="str">
        <x:v>無法計算／待確認</x:v>
      </x:c>
      <x:c r="C141" s="16"/>
      <x:c r="D141" s="16"/>
      <x:c r="E141" s="16" t="str">
        <x:v>無法計算／待確認</x:v>
      </x:c>
      <x:c r="F141" s="22" t="str">
        <x:v>Required inputs unavailable</x:v>
      </x:c>
      <x:c r="G141" s="22" t="str"/>
    </x:row>
    <x:row r="142">
      <x:c r="A142" s="16" t="str">
        <x:v>Year/cash_flow_ratio/fy_t_minus_1</x:v>
      </x:c>
      <x:c r="B142" s="19" t="str">
        <x:v>無法計算／待確認</x:v>
      </x:c>
      <x:c r="C142" s="16"/>
      <x:c r="D142" s="16"/>
      <x:c r="E142" s="16" t="str">
        <x:v>無法計算／待確認</x:v>
      </x:c>
      <x:c r="F142" s="22" t="str">
        <x:v>Required inputs unavailable</x:v>
      </x:c>
      <x:c r="G142" s="22" t="str"/>
    </x:row>
    <x:row r="143">
      <x:c r="A143" s="16" t="str">
        <x:v>Year/cash_flow_ratio/fy_t</x:v>
      </x:c>
      <x:c r="B143" s="19" t="str">
        <x:v>無法計算／待確認</x:v>
      </x:c>
      <x:c r="C143" s="16"/>
      <x:c r="D143" s="16"/>
      <x:c r="E143" s="16" t="str">
        <x:v>無法計算／待確認</x:v>
      </x:c>
      <x:c r="F143" s="22" t="str">
        <x:v>Required inputs unavailable</x:v>
      </x:c>
      <x:c r="G143" s="22" t="str"/>
    </x:row>
    <x:row r="144">
      <x:c r="A144" s="16" t="str">
        <x:v>Year/debt_ratio/fy_t_minus_3</x:v>
      </x:c>
      <x:c r="B144" s="19" t="str">
        <x:v>無法計算／待確認</x:v>
      </x:c>
      <x:c r="C144" s="16"/>
      <x:c r="D144" s="16"/>
      <x:c r="E144" s="16" t="str">
        <x:v>無法計算／待確認</x:v>
      </x:c>
      <x:c r="F144" s="22" t="str">
        <x:v>Required inputs unavailable</x:v>
      </x:c>
      <x:c r="G144" s="22" t="str"/>
    </x:row>
    <x:row r="145">
      <x:c r="A145" s="16" t="str">
        <x:v>Year/debt_ratio/fy_t_minus_2</x:v>
      </x:c>
      <x:c r="B145" s="19" t="str">
        <x:v>無法計算／待確認</x:v>
      </x:c>
      <x:c r="C145" s="16"/>
      <x:c r="D145" s="16"/>
      <x:c r="E145" s="16" t="str">
        <x:v>無法計算／待確認</x:v>
      </x:c>
      <x:c r="F145" s="22" t="str">
        <x:v>Required inputs unavailable</x:v>
      </x:c>
      <x:c r="G145" s="22" t="str"/>
    </x:row>
    <x:row r="146">
      <x:c r="A146" s="16" t="str">
        <x:v>Year/debt_ratio/fy_t_minus_1</x:v>
      </x:c>
      <x:c r="B146" s="19" t="str">
        <x:v>無法計算／待確認</x:v>
      </x:c>
      <x:c r="C146" s="16"/>
      <x:c r="D146" s="16"/>
      <x:c r="E146" s="16" t="str">
        <x:v>無法計算／待確認</x:v>
      </x:c>
      <x:c r="F146" s="22" t="str">
        <x:v>Required inputs unavailable</x:v>
      </x:c>
      <x:c r="G146" s="22" t="str"/>
    </x:row>
    <x:row r="147">
      <x:c r="A147" s="16" t="str">
        <x:v>Year/debt_ratio/fy_t</x:v>
      </x:c>
      <x:c r="B147" s="19" t="str">
        <x:v>無法計算／待確認</x:v>
      </x:c>
      <x:c r="C147" s="16"/>
      <x:c r="D147" s="16"/>
      <x:c r="E147" s="16" t="str">
        <x:v>無法計算／待確認</x:v>
      </x:c>
      <x:c r="F147" s="22" t="str">
        <x:v>Required inputs unavailable</x:v>
      </x:c>
      <x:c r="G147" s="22" t="str"/>
    </x:row>
    <x:row r="148">
      <x:c r="A148" s="16" t="str">
        <x:v>Year/interest_coverage/fy_t_minus_3</x:v>
      </x:c>
      <x:c r="B148" s="20" t="str">
        <x:v>無法計算／待確認</x:v>
      </x:c>
      <x:c r="C148" s="16"/>
      <x:c r="D148" s="16"/>
      <x:c r="E148" s="16" t="str">
        <x:v>無法計算／待確認</x:v>
      </x:c>
      <x:c r="F148" s="22" t="str">
        <x:v>Required inputs unavailable</x:v>
      </x:c>
      <x:c r="G148" s="22" t="str"/>
    </x:row>
    <x:row r="149">
      <x:c r="A149" s="16" t="str">
        <x:v>Year/interest_coverage/fy_t_minus_2</x:v>
      </x:c>
      <x:c r="B149" s="20" t="str">
        <x:v>無法計算／待確認</x:v>
      </x:c>
      <x:c r="C149" s="16"/>
      <x:c r="D149" s="16"/>
      <x:c r="E149" s="16" t="str">
        <x:v>無法計算／待確認</x:v>
      </x:c>
      <x:c r="F149" s="22" t="str">
        <x:v>Required inputs unavailable</x:v>
      </x:c>
      <x:c r="G149" s="22" t="str"/>
    </x:row>
    <x:row r="150">
      <x:c r="A150" s="16" t="str">
        <x:v>Year/interest_coverage/fy_t_minus_1</x:v>
      </x:c>
      <x:c r="B150" s="20" t="str">
        <x:v>無法計算／待確認</x:v>
      </x:c>
      <x:c r="C150" s="16"/>
      <x:c r="D150" s="16"/>
      <x:c r="E150" s="16" t="str">
        <x:v>無法計算／待確認</x:v>
      </x:c>
      <x:c r="F150" s="22" t="str">
        <x:v>Required inputs unavailable</x:v>
      </x:c>
      <x:c r="G150" s="22" t="str"/>
    </x:row>
    <x:row r="151">
      <x:c r="A151" s="16" t="str">
        <x:v>Year/interest_coverage/fy_t</x:v>
      </x:c>
      <x:c r="B151" s="20" t="str">
        <x:v>無法計算／待確認</x:v>
      </x:c>
      <x:c r="C151" s="16"/>
      <x:c r="D151" s="16"/>
      <x:c r="E151" s="16" t="str">
        <x:v>無法計算／待確認</x:v>
      </x:c>
      <x:c r="F151" s="22" t="str">
        <x:v>Required inputs unavailable</x:v>
      </x:c>
      <x:c r="G151" s="22" t="str"/>
    </x:row>
    <x:row r="152">
      <x:c r="A152" s="16" t="str">
        <x:v>Year/total_debt/fy_t_minus_3</x:v>
      </x:c>
      <x:c r="B152" s="18" t="str">
        <x:v>缺少資料</x:v>
      </x:c>
      <x:c r="C152" s="16"/>
      <x:c r="D152" s="16"/>
      <x:c r="E152" s="16" t="str">
        <x:v>缺少資料</x:v>
      </x:c>
      <x:c r="F152" s="22" t="str">
        <x:v>既有底稿未提供可核實的來源科目／組成；不等於SEC未揭露</x:v>
      </x:c>
      <x:c r="G152" s="22" t="str"/>
    </x:row>
    <x:row r="153">
      <x:c r="A153" s="16" t="str">
        <x:v>Year/total_debt/fy_t_minus_2</x:v>
      </x:c>
      <x:c r="B153" s="18" t="str">
        <x:v>缺少資料</x:v>
      </x:c>
      <x:c r="C153" s="16"/>
      <x:c r="D153" s="16"/>
      <x:c r="E153" s="16" t="str">
        <x:v>缺少資料</x:v>
      </x:c>
      <x:c r="F153" s="22" t="str">
        <x:v>既有底稿未提供可核實的來源科目／組成；不等於SEC未揭露</x:v>
      </x:c>
      <x:c r="G153" s="22" t="str"/>
    </x:row>
    <x:row r="154">
      <x:c r="A154" s="16" t="str">
        <x:v>Year/total_debt/fy_t_minus_1</x:v>
      </x:c>
      <x:c r="B154" s="18" t="str">
        <x:v>缺少資料</x:v>
      </x:c>
      <x:c r="C154" s="16"/>
      <x:c r="D154" s="16"/>
      <x:c r="E154" s="16" t="str">
        <x:v>缺少資料</x:v>
      </x:c>
      <x:c r="F154" s="22" t="str">
        <x:v>既有底稿未提供可核實的來源科目／組成；不等於SEC未揭露</x:v>
      </x:c>
      <x:c r="G154" s="22" t="str"/>
    </x:row>
    <x:row r="155">
      <x:c r="A155" s="16" t="str">
        <x:v>Year/total_debt/fy_t</x:v>
      </x:c>
      <x:c r="B155" s="18" t="str">
        <x:v>缺少資料</x:v>
      </x:c>
      <x:c r="C155" s="16"/>
      <x:c r="D155" s="16"/>
      <x:c r="E155" s="16" t="str">
        <x:v>缺少資料</x:v>
      </x:c>
      <x:c r="F155" s="22" t="str">
        <x:v>既有底稿未提供可核實的來源科目／組成；不等於SEC未揭露</x:v>
      </x:c>
      <x:c r="G155" s="22" t="str"/>
    </x:row>
    <x:row r="156">
      <x:c r="A156" s="16" t="str">
        <x:v>Year/debt_service/fy_t_minus_3</x:v>
      </x:c>
      <x:c r="B156" s="18" t="str">
        <x:v>缺少資料</x:v>
      </x:c>
      <x:c r="C156" s="16"/>
      <x:c r="D156" s="16"/>
      <x:c r="E156" s="16" t="str">
        <x:v>缺少資料</x:v>
      </x:c>
      <x:c r="F156" s="22" t="str">
        <x:v>既有底稿未提供可核實的來源科目／組成；不等於SEC未揭露; Unresolved definitions: DEC-03</x:v>
      </x:c>
      <x:c r="G156" s="22" t="str"/>
    </x:row>
    <x:row r="157">
      <x:c r="A157" s="16" t="str">
        <x:v>Year/debt_service/fy_t_minus_2</x:v>
      </x:c>
      <x:c r="B157" s="18" t="str">
        <x:v>缺少資料</x:v>
      </x:c>
      <x:c r="C157" s="16"/>
      <x:c r="D157" s="16"/>
      <x:c r="E157" s="16" t="str">
        <x:v>缺少資料</x:v>
      </x:c>
      <x:c r="F157" s="22" t="str">
        <x:v>既有底稿未提供可核實的來源科目／組成；不等於SEC未揭露; Unresolved definitions: DEC-03</x:v>
      </x:c>
      <x:c r="G157" s="22" t="str"/>
    </x:row>
    <x:row r="158">
      <x:c r="A158" s="16" t="str">
        <x:v>Year/debt_service/fy_t_minus_1</x:v>
      </x:c>
      <x:c r="B158" s="18" t="str">
        <x:v>缺少資料</x:v>
      </x:c>
      <x:c r="C158" s="16"/>
      <x:c r="D158" s="16"/>
      <x:c r="E158" s="16" t="str">
        <x:v>缺少資料</x:v>
      </x:c>
      <x:c r="F158" s="22" t="str">
        <x:v>既有底稿未提供可核實的來源科目／組成；不等於SEC未揭露; Unresolved definitions: DEC-03</x:v>
      </x:c>
      <x:c r="G158" s="22" t="str"/>
    </x:row>
    <x:row r="159">
      <x:c r="A159" s="16" t="str">
        <x:v>Year/debt_service/fy_t</x:v>
      </x:c>
      <x:c r="B159" s="18" t="str">
        <x:v>缺少資料</x:v>
      </x:c>
      <x:c r="C159" s="16"/>
      <x:c r="D159" s="16"/>
      <x:c r="E159" s="16" t="str">
        <x:v>缺少資料</x:v>
      </x:c>
      <x:c r="F159" s="22" t="str">
        <x:v>既有底稿未提供可核實的來源科目／組成；不等於SEC未揭露; Unresolved definitions: DEC-03</x:v>
      </x:c>
      <x:c r="G159" s="22" t="str"/>
    </x:row>
    <x:row r="160">
      <x:c r="A160" s="16" t="str">
        <x:v>Year/ltm_ebitda/fy_t_minus_3</x:v>
      </x:c>
      <x:c r="B160" s="18" t="str">
        <x:v>無法計算／待確認</x:v>
      </x:c>
      <x:c r="C160" s="16"/>
      <x:c r="D160" s="16"/>
      <x:c r="E160" s="16" t="str">
        <x:v>無法計算／待確認</x:v>
      </x:c>
      <x:c r="F160" s="22" t="str">
        <x:v>Verified Standard EBITDA basis required</x:v>
      </x:c>
      <x:c r="G160" s="22" t="str"/>
    </x:row>
    <x:row r="161">
      <x:c r="A161" s="16" t="str">
        <x:v>Year/ltm_ebitda/fy_t_minus_2</x:v>
      </x:c>
      <x:c r="B161" s="18" t="str">
        <x:v>無法計算／待確認</x:v>
      </x:c>
      <x:c r="C161" s="16"/>
      <x:c r="D161" s="16"/>
      <x:c r="E161" s="16" t="str">
        <x:v>無法計算／待確認</x:v>
      </x:c>
      <x:c r="F161" s="22" t="str">
        <x:v>Verified Standard EBITDA basis required</x:v>
      </x:c>
      <x:c r="G161" s="22" t="str"/>
    </x:row>
    <x:row r="162">
      <x:c r="A162" s="16" t="str">
        <x:v>Year/ltm_ebitda/fy_t_minus_1</x:v>
      </x:c>
      <x:c r="B162" s="18" t="str">
        <x:v>無法計算／待確認</x:v>
      </x:c>
      <x:c r="C162" s="16"/>
      <x:c r="D162" s="16"/>
      <x:c r="E162" s="16" t="str">
        <x:v>無法計算／待確認</x:v>
      </x:c>
      <x:c r="F162" s="22" t="str">
        <x:v>Verified Standard EBITDA basis required</x:v>
      </x:c>
      <x:c r="G162" s="22" t="str"/>
    </x:row>
    <x:row r="163">
      <x:c r="A163" s="16" t="str">
        <x:v>Year/ltm_ebitda/fy_t</x:v>
      </x:c>
      <x:c r="B163" s="18" t="str">
        <x:v>無法計算／待確認</x:v>
      </x:c>
      <x:c r="C163" s="16"/>
      <x:c r="D163" s="16"/>
      <x:c r="E163" s="16" t="str">
        <x:v>無法計算／待確認</x:v>
      </x:c>
      <x:c r="F163" s="22" t="str">
        <x:v>Verified Standard EBITDA basis required</x:v>
      </x:c>
      <x:c r="G163" s="22" t="str"/>
    </x:row>
    <x:row r="164">
      <x:c r="A164" s="16" t="str">
        <x:v>Year/ebitda_basis/fy_t_minus_3</x:v>
      </x:c>
      <x:c r="B164" s="18" t="str">
        <x:v>缺少資料</x:v>
      </x:c>
      <x:c r="C164" s="16"/>
      <x:c r="D164" s="16"/>
      <x:c r="E164" s="16" t="str">
        <x:v>缺少資料</x:v>
      </x:c>
      <x:c r="F164" s="22" t="str">
        <x:v>既有底稿未提供可核實的來源科目／組成；不等於SEC未揭露</x:v>
      </x:c>
      <x:c r="G164" s="22" t="str"/>
    </x:row>
    <x:row r="165">
      <x:c r="A165" s="16" t="str">
        <x:v>Year/ebitda_basis/fy_t_minus_2</x:v>
      </x:c>
      <x:c r="B165" s="18" t="str">
        <x:v>缺少資料</x:v>
      </x:c>
      <x:c r="C165" s="16"/>
      <x:c r="D165" s="16"/>
      <x:c r="E165" s="16" t="str">
        <x:v>缺少資料</x:v>
      </x:c>
      <x:c r="F165" s="22" t="str">
        <x:v>既有底稿未提供可核實的來源科目／組成；不等於SEC未揭露</x:v>
      </x:c>
      <x:c r="G165" s="22" t="str"/>
    </x:row>
    <x:row r="166">
      <x:c r="A166" s="16" t="str">
        <x:v>Year/ebitda_basis/fy_t_minus_1</x:v>
      </x:c>
      <x:c r="B166" s="18" t="str">
        <x:v>缺少資料</x:v>
      </x:c>
      <x:c r="C166" s="16"/>
      <x:c r="D166" s="16"/>
      <x:c r="E166" s="16" t="str">
        <x:v>缺少資料</x:v>
      </x:c>
      <x:c r="F166" s="22" t="str">
        <x:v>既有底稿未提供可核實的來源科目／組成；不等於SEC未揭露</x:v>
      </x:c>
      <x:c r="G166" s="22" t="str"/>
    </x:row>
    <x:row r="167">
      <x:c r="A167" s="16" t="str">
        <x:v>Year/ebitda_basis/fy_t</x:v>
      </x:c>
      <x:c r="B167" s="18" t="str">
        <x:v>缺少資料</x:v>
      </x:c>
      <x:c r="C167" s="16"/>
      <x:c r="D167" s="16"/>
      <x:c r="E167" s="16" t="str">
        <x:v>缺少資料</x:v>
      </x:c>
      <x:c r="F167" s="22" t="str">
        <x:v>既有底稿未提供可核實的來源科目／組成；不等於SEC未揭露</x:v>
      </x:c>
      <x:c r="G167" s="22" t="str"/>
    </x:row>
    <x:row r="168">
      <x:c r="A168" s="16" t="str">
        <x:v>Year/total_leverage/fy_t_minus_3</x:v>
      </x:c>
      <x:c r="B168" s="20" t="str">
        <x:v>無法計算／待確認</x:v>
      </x:c>
      <x:c r="C168" s="16"/>
      <x:c r="D168" s="16"/>
      <x:c r="E168" s="16" t="str">
        <x:v>無法計算／待確認</x:v>
      </x:c>
      <x:c r="F168" s="22" t="str">
        <x:v>Required inputs unavailable</x:v>
      </x:c>
      <x:c r="G168" s="22" t="str"/>
    </x:row>
    <x:row r="169">
      <x:c r="A169" s="16" t="str">
        <x:v>Year/total_leverage/fy_t_minus_2</x:v>
      </x:c>
      <x:c r="B169" s="20" t="str">
        <x:v>無法計算／待確認</x:v>
      </x:c>
      <x:c r="C169" s="16"/>
      <x:c r="D169" s="16"/>
      <x:c r="E169" s="16" t="str">
        <x:v>無法計算／待確認</x:v>
      </x:c>
      <x:c r="F169" s="22" t="str">
        <x:v>Required inputs unavailable</x:v>
      </x:c>
      <x:c r="G169" s="22" t="str"/>
    </x:row>
    <x:row r="170">
      <x:c r="A170" s="16" t="str">
        <x:v>Year/total_leverage/fy_t_minus_1</x:v>
      </x:c>
      <x:c r="B170" s="20" t="str">
        <x:v>無法計算／待確認</x:v>
      </x:c>
      <x:c r="C170" s="16"/>
      <x:c r="D170" s="16"/>
      <x:c r="E170" s="16" t="str">
        <x:v>無法計算／待確認</x:v>
      </x:c>
      <x:c r="F170" s="22" t="str">
        <x:v>Required inputs unavailable</x:v>
      </x:c>
      <x:c r="G170" s="22" t="str"/>
    </x:row>
    <x:row r="171">
      <x:c r="A171" s="16" t="str">
        <x:v>Year/total_leverage/fy_t</x:v>
      </x:c>
      <x:c r="B171" s="20" t="str">
        <x:v>無法計算／待確認</x:v>
      </x:c>
      <x:c r="C171" s="16"/>
      <x:c r="D171" s="16"/>
      <x:c r="E171" s="16" t="str">
        <x:v>無法計算／待確認</x:v>
      </x:c>
      <x:c r="F171" s="22" t="str">
        <x:v>Required inputs unavailable</x:v>
      </x:c>
      <x:c r="G171" s="22" t="str"/>
    </x:row>
    <x:row r="172">
      <x:c r="A172" s="16" t="str">
        <x:v>Year/ebitda_interest/fy_t_minus_3</x:v>
      </x:c>
      <x:c r="B172" s="20" t="str">
        <x:v>無法計算／待確認</x:v>
      </x:c>
      <x:c r="C172" s="16"/>
      <x:c r="D172" s="16"/>
      <x:c r="E172" s="16" t="str">
        <x:v>無法計算／待確認</x:v>
      </x:c>
      <x:c r="F172" s="22" t="str">
        <x:v>Required inputs unavailable</x:v>
      </x:c>
      <x:c r="G172" s="22" t="str"/>
    </x:row>
    <x:row r="173">
      <x:c r="A173" s="16" t="str">
        <x:v>Year/ebitda_interest/fy_t_minus_2</x:v>
      </x:c>
      <x:c r="B173" s="20" t="str">
        <x:v>無法計算／待確認</x:v>
      </x:c>
      <x:c r="C173" s="16"/>
      <x:c r="D173" s="16"/>
      <x:c r="E173" s="16" t="str">
        <x:v>無法計算／待確認</x:v>
      </x:c>
      <x:c r="F173" s="22" t="str">
        <x:v>Required inputs unavailable</x:v>
      </x:c>
      <x:c r="G173" s="22" t="str"/>
    </x:row>
    <x:row r="174">
      <x:c r="A174" s="16" t="str">
        <x:v>Year/ebitda_interest/fy_t_minus_1</x:v>
      </x:c>
      <x:c r="B174" s="20" t="str">
        <x:v>無法計算／待確認</x:v>
      </x:c>
      <x:c r="C174" s="16"/>
      <x:c r="D174" s="16"/>
      <x:c r="E174" s="16" t="str">
        <x:v>無法計算／待確認</x:v>
      </x:c>
      <x:c r="F174" s="22" t="str">
        <x:v>Required inputs unavailable</x:v>
      </x:c>
      <x:c r="G174" s="22" t="str"/>
    </x:row>
    <x:row r="175">
      <x:c r="A175" s="16" t="str">
        <x:v>Year/ebitda_interest/fy_t</x:v>
      </x:c>
      <x:c r="B175" s="20" t="str">
        <x:v>無法計算／待確認</x:v>
      </x:c>
      <x:c r="C175" s="16"/>
      <x:c r="D175" s="16"/>
      <x:c r="E175" s="16" t="str">
        <x:v>無法計算／待確認</x:v>
      </x:c>
      <x:c r="F175" s="22" t="str">
        <x:v>Required inputs unavailable</x:v>
      </x:c>
      <x:c r="G175" s="22" t="str"/>
    </x:row>
    <x:row r="176">
      <x:c r="A176" s="16" t="str">
        <x:v>Year/dscr/fy_t_minus_3</x:v>
      </x:c>
      <x:c r="B176" s="20" t="str">
        <x:v>缺少資料</x:v>
      </x:c>
      <x:c r="C176" s="16"/>
      <x:c r="D176" s="16"/>
      <x:c r="E176" s="16" t="str">
        <x:v>缺少資料</x:v>
      </x:c>
      <x:c r="F176" s="22" t="str">
        <x:v>既有底稿未提供可核實的來源科目／組成；不等於SEC未揭露; Unresolved definitions: DEC-03</x:v>
      </x:c>
      <x:c r="G176" s="22" t="str"/>
    </x:row>
    <x:row r="177">
      <x:c r="A177" s="16" t="str">
        <x:v>Year/dscr/fy_t_minus_2</x:v>
      </x:c>
      <x:c r="B177" s="20" t="str">
        <x:v>缺少資料</x:v>
      </x:c>
      <x:c r="C177" s="16"/>
      <x:c r="D177" s="16"/>
      <x:c r="E177" s="16" t="str">
        <x:v>缺少資料</x:v>
      </x:c>
      <x:c r="F177" s="22" t="str">
        <x:v>既有底稿未提供可核實的來源科目／組成；不等於SEC未揭露; Unresolved definitions: DEC-03</x:v>
      </x:c>
      <x:c r="G177" s="22" t="str"/>
    </x:row>
    <x:row r="178">
      <x:c r="A178" s="16" t="str">
        <x:v>Year/dscr/fy_t_minus_1</x:v>
      </x:c>
      <x:c r="B178" s="20" t="str">
        <x:v>缺少資料</x:v>
      </x:c>
      <x:c r="C178" s="16"/>
      <x:c r="D178" s="16"/>
      <x:c r="E178" s="16" t="str">
        <x:v>缺少資料</x:v>
      </x:c>
      <x:c r="F178" s="22" t="str">
        <x:v>既有底稿未提供可核實的來源科目／組成；不等於SEC未揭露; Unresolved definitions: DEC-03</x:v>
      </x:c>
      <x:c r="G178" s="22" t="str"/>
    </x:row>
    <x:row r="179">
      <x:c r="A179" s="16" t="str">
        <x:v>Year/dscr/fy_t</x:v>
      </x:c>
      <x:c r="B179" s="20" t="str">
        <x:v>缺少資料</x:v>
      </x:c>
      <x:c r="C179" s="16"/>
      <x:c r="D179" s="16"/>
      <x:c r="E179" s="16" t="str">
        <x:v>缺少資料</x:v>
      </x:c>
      <x:c r="F179" s="22" t="str">
        <x:v>既有底稿未提供可核實的來源科目／組成；不等於SEC未揭露; Unresolved definitions: DEC-03</x:v>
      </x:c>
      <x:c r="G179" s="22" t="str"/>
    </x:row>
    <x:row r="180">
      <x:c r="A180" s="16" t="str">
        <x:v>Year/current_assets/fy_t_minus_3</x:v>
      </x:c>
      <x:c r="B180" s="18" t="n">
        <x:f>IF(AND(ISNUMBER(C180),ISNUMBER(D180)),C180*D180/1000000,"缺少資料")</x:f>
        <x:v>1614.5</x:v>
      </x:c>
      <x:c r="C180" s="16" t="n">
        <x:v>1614500</x:v>
      </x:c>
      <x:c r="D180" s="16" t="n">
        <x:v>1000</x:v>
      </x:c>
      <x:c r="E180" s="16" t="str">
        <x:v>sourced</x:v>
      </x:c>
      <x:c r="F180" s="22" t="str">
        <x:v>Current Assets</x:v>
      </x:c>
      <x:c r="G180" s="22" t="str">
        <x:v>/Users/yuntzuyu/Downloads/e-loan/Year/E-loan YYYY_Nexstar 2025.xls#Report1!D10; label=A10; dates=D6,D76; unit=O4</x:v>
      </x:c>
    </x:row>
    <x:row r="181">
      <x:c r="A181" s="16" t="str">
        <x:v>Year/current_liabilities/fy_t_minus_3</x:v>
      </x:c>
      <x:c r="B181" s="18" t="n">
        <x:f>IF(AND(ISNUMBER(C181),ISNUMBER(D181)),C181*D181/1000000,"缺少資料")</x:f>
        <x:v>893.2</x:v>
      </x:c>
      <x:c r="C181" s="16" t="n">
        <x:v>893200</x:v>
      </x:c>
      <x:c r="D181" s="16" t="n">
        <x:v>1000</x:v>
      </x:c>
      <x:c r="E181" s="16" t="str">
        <x:v>sourced</x:v>
      </x:c>
      <x:c r="F181" s="22" t="str">
        <x:v>Current Liabilities</x:v>
      </x:c>
      <x:c r="G181" s="22" t="str">
        <x:v>/Users/yuntzuyu/Downloads/e-loan/Year/E-loan YYYY_Nexstar 2025.xls#Report1!D40; label=A40; dates=D6,D76; unit=O4</x:v>
      </x:c>
    </x:row>
    <x:row r="182">
      <x:c r="A182" s="16" t="str">
        <x:v>Year/total_liabilities/fy_t_minus_3</x:v>
      </x:c>
      <x:c r="B182" s="18" t="n">
        <x:f>IF(AND(ISNUMBER(C182),ISNUMBER(D182)),C182*D182/1000000,"缺少資料")</x:f>
        <x:v>9909.6</x:v>
      </x:c>
      <x:c r="C182" s="16" t="n">
        <x:v>9909600</x:v>
      </x:c>
      <x:c r="D182" s="16" t="n">
        <x:v>1000</x:v>
      </x:c>
      <x:c r="E182" s="16" t="str">
        <x:v>sourced</x:v>
      </x:c>
      <x:c r="F182" s="22" t="str">
        <x:v>Total Liabilities</x:v>
      </x:c>
      <x:c r="G182" s="22" t="str">
        <x:v>/Users/yuntzuyu/Downloads/e-loan/Year/E-loan YYYY_Nexstar 2025.xls#Report1!D62; label=A62; dates=D6,D76; unit=O4</x:v>
      </x:c>
    </x:row>
    <x:row r="183">
      <x:c r="A183" s="16" t="str">
        <x:v>Year/quick_assets/fy_t_minus_3</x:v>
      </x:c>
      <x:c r="B183" s="18" t="str">
        <x:v>缺少資料</x:v>
      </x:c>
      <x:c r="C183" s="16"/>
      <x:c r="D183" s="16"/>
      <x:c r="E183" s="16" t="str">
        <x:v>缺少資料</x:v>
      </x:c>
      <x:c r="F183" s="22" t="str">
        <x:v>既有底稿未提供可核實的來源科目／組成；不等於SEC未揭露</x:v>
      </x:c>
      <x:c r="G183" s="22" t="str"/>
    </x:row>
    <x:row r="184">
      <x:c r="A184" s="16" t="str">
        <x:v>Year/net_worth/fy_t_minus_3</x:v>
      </x:c>
      <x:c r="B184" s="18" t="str">
        <x:v>無法計算／待確認</x:v>
      </x:c>
      <x:c r="C184" s="16"/>
      <x:c r="D184" s="16"/>
      <x:c r="E184" s="16" t="str">
        <x:v>無法計算／待確認</x:v>
      </x:c>
      <x:c r="F184" s="22" t="str">
        <x:v>Approved policy; company-specific source definition not yet verified; candidate retained</x:v>
      </x:c>
      <x:c r="G184" s="22" t="str">
        <x:v>/Users/yuntzuyu/Downloads/e-loan/Year/E-loan YYYY_Nexstar 2025.xls#Report1!D70; label=A70; dates=D6,D76; unit=O4</x:v>
      </x:c>
    </x:row>
    <x:row r="185">
      <x:c r="A185" s="16" t="str">
        <x:v>Year/capitalized_interest/fy_t_minus_3</x:v>
      </x:c>
      <x:c r="B185" s="18" t="str">
        <x:v>缺少資料</x:v>
      </x:c>
      <x:c r="C185" s="16"/>
      <x:c r="D185" s="16"/>
      <x:c r="E185" s="16" t="str">
        <x:v>缺少資料</x:v>
      </x:c>
      <x:c r="F185" s="22" t="str">
        <x:v>原始儲存格空白／無可用數值</x:v>
      </x:c>
      <x:c r="G185" s="22" t="str">
        <x:v>/Users/yuntzuyu/Downloads/e-loan/Year/E-loan YYYY_Nexstar 2025.xls#Report1!D120; label=A120; dates=D6,D76; unit=O4</x:v>
      </x:c>
    </x:row>
    <x:row r="186">
      <x:c r="A186" s="16" t="str">
        <x:v>Year/da/fy_t_minus_3</x:v>
      </x:c>
      <x:c r="B186" s="18" t="n">
        <x:f>IF(AND(ISNUMBER(C186),ISNUMBER(D186)),C186*D186/1000000,"缺少資料")</x:f>
        <x:v>662.1</x:v>
      </x:c>
      <x:c r="C186" s="16" t="n">
        <x:v>662100</x:v>
      </x:c>
      <x:c r="D186" s="16" t="n">
        <x:v>1000</x:v>
      </x:c>
      <x:c r="E186" s="16" t="str">
        <x:v>sourced</x:v>
      </x:c>
      <x:c r="F186" s="22" t="str">
        <x:v>Depreciation &amp; Amortization</x:v>
      </x:c>
      <x:c r="G186" s="22" t="str">
        <x:v>/Users/yuntzuyu/Downloads/e-loan/Year/E-loan YYYY_Nexstar 2025.xls#Report1!D121; label=A121; dates=D6,D76; unit=O4</x:v>
      </x:c>
    </x:row>
    <x:row r="187">
      <x:c r="A187" s="16" t="str">
        <x:v>Year/current_assets/fy_t_minus_2</x:v>
      </x:c>
      <x:c r="B187" s="18" t="n">
        <x:f>IF(AND(ISNUMBER(C187),ISNUMBER(D187)),C187*D187/1000000,"缺少資料")</x:f>
        <x:v>1466</x:v>
      </x:c>
      <x:c r="C187" s="16" t="n">
        <x:v>1466000</x:v>
      </x:c>
      <x:c r="D187" s="16" t="n">
        <x:v>1000</x:v>
      </x:c>
      <x:c r="E187" s="16" t="str">
        <x:v>sourced</x:v>
      </x:c>
      <x:c r="F187" s="22" t="str">
        <x:v>Current Assets</x:v>
      </x:c>
      <x:c r="G187" s="22" t="str">
        <x:v>/Users/yuntzuyu/Downloads/e-loan/Year/E-loan YYYY_Nexstar 2025.xls#Report1!I10; label=A10; dates=I6,I76; unit=O4</x:v>
      </x:c>
    </x:row>
    <x:row r="188">
      <x:c r="A188" s="16" t="str">
        <x:v>Year/current_liabilities/fy_t_minus_2</x:v>
      </x:c>
      <x:c r="B188" s="18" t="n">
        <x:f>IF(AND(ISNUMBER(C188),ISNUMBER(D188)),C188*D188/1000000,"缺少資料")</x:f>
        <x:v>961</x:v>
      </x:c>
      <x:c r="C188" s="16" t="n">
        <x:v>961000</x:v>
      </x:c>
      <x:c r="D188" s="16" t="n">
        <x:v>1000</x:v>
      </x:c>
      <x:c r="E188" s="16" t="str">
        <x:v>sourced</x:v>
      </x:c>
      <x:c r="F188" s="22" t="str">
        <x:v>Current Liabilities</x:v>
      </x:c>
      <x:c r="G188" s="22" t="str">
        <x:v>/Users/yuntzuyu/Downloads/e-loan/Year/E-loan YYYY_Nexstar 2025.xls#Report1!I40; label=A40; dates=I6,I76; unit=O4</x:v>
      </x:c>
    </x:row>
    <x:row r="189">
      <x:c r="A189" s="16" t="str">
        <x:v>Year/total_liabilities/fy_t_minus_2</x:v>
      </x:c>
      <x:c r="B189" s="18" t="n">
        <x:f>IF(AND(ISNUMBER(C189),ISNUMBER(D189)),C189*D189/1000000,"缺少資料")</x:f>
        <x:v>9765</x:v>
      </x:c>
      <x:c r="C189" s="16" t="n">
        <x:v>9765000</x:v>
      </x:c>
      <x:c r="D189" s="16" t="n">
        <x:v>1000</x:v>
      </x:c>
      <x:c r="E189" s="16" t="str">
        <x:v>sourced</x:v>
      </x:c>
      <x:c r="F189" s="22" t="str">
        <x:v>Total Liabilities</x:v>
      </x:c>
      <x:c r="G189" s="22" t="str">
        <x:v>/Users/yuntzuyu/Downloads/e-loan/Year/E-loan YYYY_Nexstar 2025.xls#Report1!I62; label=A62; dates=I6,I76; unit=O4</x:v>
      </x:c>
    </x:row>
    <x:row r="190">
      <x:c r="A190" s="16" t="str">
        <x:v>Year/quick_assets/fy_t_minus_2</x:v>
      </x:c>
      <x:c r="B190" s="18" t="str">
        <x:v>缺少資料</x:v>
      </x:c>
      <x:c r="C190" s="16"/>
      <x:c r="D190" s="16"/>
      <x:c r="E190" s="16" t="str">
        <x:v>缺少資料</x:v>
      </x:c>
      <x:c r="F190" s="22" t="str">
        <x:v>既有底稿未提供可核實的來源科目／組成；不等於SEC未揭露</x:v>
      </x:c>
      <x:c r="G190" s="22" t="str"/>
    </x:row>
    <x:row r="191">
      <x:c r="A191" s="16" t="str">
        <x:v>Year/net_worth/fy_t_minus_2</x:v>
      </x:c>
      <x:c r="B191" s="18" t="str">
        <x:v>無法計算／待確認</x:v>
      </x:c>
      <x:c r="C191" s="16"/>
      <x:c r="D191" s="16"/>
      <x:c r="E191" s="16" t="str">
        <x:v>無法計算／待確認</x:v>
      </x:c>
      <x:c r="F191" s="22" t="str">
        <x:v>Approved policy; company-specific source definition not yet verified; candidate retained</x:v>
      </x:c>
      <x:c r="G191" s="22" t="str">
        <x:v>/Users/yuntzuyu/Downloads/e-loan/Year/E-loan YYYY_Nexstar 2025.xls#Report1!I70; label=A70; dates=I6,I76; unit=O4</x:v>
      </x:c>
    </x:row>
    <x:row r="192">
      <x:c r="A192" s="16" t="str">
        <x:v>Year/capitalized_interest/fy_t_minus_2</x:v>
      </x:c>
      <x:c r="B192" s="18" t="str">
        <x:v>缺少資料</x:v>
      </x:c>
      <x:c r="C192" s="16"/>
      <x:c r="D192" s="16"/>
      <x:c r="E192" s="16" t="str">
        <x:v>缺少資料</x:v>
      </x:c>
      <x:c r="F192" s="22" t="str">
        <x:v>原始儲存格空白／無可用數值</x:v>
      </x:c>
      <x:c r="G192" s="22" t="str">
        <x:v>/Users/yuntzuyu/Downloads/e-loan/Year/E-loan YYYY_Nexstar 2025.xls#Report1!I120; label=A120; dates=I6,I76; unit=O4</x:v>
      </x:c>
    </x:row>
    <x:row r="193">
      <x:c r="A193" s="16" t="str">
        <x:v>Year/da/fy_t_minus_2</x:v>
      </x:c>
      <x:c r="B193" s="18" t="n">
        <x:f>IF(AND(ISNUMBER(C193),ISNUMBER(D193)),C193*D193/1000000,"缺少資料")</x:f>
        <x:v>941</x:v>
      </x:c>
      <x:c r="C193" s="16" t="n">
        <x:v>941000</x:v>
      </x:c>
      <x:c r="D193" s="16" t="n">
        <x:v>1000</x:v>
      </x:c>
      <x:c r="E193" s="16" t="str">
        <x:v>sourced</x:v>
      </x:c>
      <x:c r="F193" s="22" t="str">
        <x:v>Depreciation &amp; Amortization</x:v>
      </x:c>
      <x:c r="G193" s="22" t="str">
        <x:v>/Users/yuntzuyu/Downloads/e-loan/Year/E-loan YYYY_Nexstar 2025.xls#Report1!I121; label=A121; dates=I6,I76; unit=O4</x:v>
      </x:c>
    </x:row>
    <x:row r="194">
      <x:c r="A194" s="16" t="str">
        <x:v>Year/current_assets/fy_t_minus_1</x:v>
      </x:c>
      <x:c r="B194" s="18" t="n">
        <x:f>IF(AND(ISNUMBER(C194),ISNUMBER(D194)),C194*D194/1000000,"缺少資料")</x:f>
        <x:v>1297</x:v>
      </x:c>
      <x:c r="C194" s="16" t="n">
        <x:v>1297000</x:v>
      </x:c>
      <x:c r="D194" s="16" t="n">
        <x:v>1000</x:v>
      </x:c>
      <x:c r="E194" s="16" t="str">
        <x:v>sourced</x:v>
      </x:c>
      <x:c r="F194" s="22" t="str">
        <x:v>Current Assets</x:v>
      </x:c>
      <x:c r="G194" s="22" t="str">
        <x:v>/Users/yuntzuyu/Downloads/e-loan/Year/E-loan YYYY_Nexstar 2025.xls#Report1!M10; label=A10; dates=M6,M76; unit=O4</x:v>
      </x:c>
    </x:row>
    <x:row r="195">
      <x:c r="A195" s="16" t="str">
        <x:v>Year/current_liabilities/fy_t_minus_1</x:v>
      </x:c>
      <x:c r="B195" s="18" t="n">
        <x:f>IF(AND(ISNUMBER(C195),ISNUMBER(D195)),C195*D195/1000000,"缺少資料")</x:f>
        <x:v>783</x:v>
      </x:c>
      <x:c r="C195" s="16" t="n">
        <x:v>783000</x:v>
      </x:c>
      <x:c r="D195" s="16" t="n">
        <x:v>1000</x:v>
      </x:c>
      <x:c r="E195" s="16" t="str">
        <x:v>sourced</x:v>
      </x:c>
      <x:c r="F195" s="22" t="str">
        <x:v>Current Liabilities</x:v>
      </x:c>
      <x:c r="G195" s="22" t="str">
        <x:v>/Users/yuntzuyu/Downloads/e-loan/Year/E-loan YYYY_Nexstar 2025.xls#Report1!M40; label=A40; dates=M6,M76; unit=O4</x:v>
      </x:c>
    </x:row>
    <x:row r="196">
      <x:c r="A196" s="16" t="str">
        <x:v>Year/total_liabilities/fy_t_minus_1</x:v>
      </x:c>
      <x:c r="B196" s="18" t="n">
        <x:f>IF(AND(ISNUMBER(C196),ISNUMBER(D196)),C196*D196/1000000,"缺少資料")</x:f>
        <x:v>9200</x:v>
      </x:c>
      <x:c r="C196" s="16" t="n">
        <x:v>9200000</x:v>
      </x:c>
      <x:c r="D196" s="16" t="n">
        <x:v>1000</x:v>
      </x:c>
      <x:c r="E196" s="16" t="str">
        <x:v>sourced</x:v>
      </x:c>
      <x:c r="F196" s="22" t="str">
        <x:v>Total Liabilities</x:v>
      </x:c>
      <x:c r="G196" s="22" t="str">
        <x:v>/Users/yuntzuyu/Downloads/e-loan/Year/E-loan YYYY_Nexstar 2025.xls#Report1!M62; label=A62; dates=M6,M76; unit=O4</x:v>
      </x:c>
    </x:row>
    <x:row r="197">
      <x:c r="A197" s="16" t="str">
        <x:v>Year/quick_assets/fy_t_minus_1</x:v>
      </x:c>
      <x:c r="B197" s="18" t="str">
        <x:v>缺少資料</x:v>
      </x:c>
      <x:c r="C197" s="16"/>
      <x:c r="D197" s="16"/>
      <x:c r="E197" s="16" t="str">
        <x:v>缺少資料</x:v>
      </x:c>
      <x:c r="F197" s="22" t="str">
        <x:v>既有底稿未提供可核實的來源科目／組成；不等於SEC未揭露</x:v>
      </x:c>
      <x:c r="G197" s="22" t="str"/>
    </x:row>
    <x:row r="198">
      <x:c r="A198" s="16" t="str">
        <x:v>Year/net_worth/fy_t_minus_1</x:v>
      </x:c>
      <x:c r="B198" s="18" t="str">
        <x:v>無法計算／待確認</x:v>
      </x:c>
      <x:c r="C198" s="16"/>
      <x:c r="D198" s="16"/>
      <x:c r="E198" s="16" t="str">
        <x:v>無法計算／待確認</x:v>
      </x:c>
      <x:c r="F198" s="22" t="str">
        <x:v>Approved policy; company-specific source definition not yet verified; candidate retained</x:v>
      </x:c>
      <x:c r="G198" s="22" t="str">
        <x:v>/Users/yuntzuyu/Downloads/e-loan/Year/E-loan YYYY_Nexstar 2025.xls#Report1!M70; label=A70; dates=M6,M76; unit=O4</x:v>
      </x:c>
    </x:row>
    <x:row r="199">
      <x:c r="A199" s="16" t="str">
        <x:v>Year/capitalized_interest/fy_t_minus_1</x:v>
      </x:c>
      <x:c r="B199" s="18" t="str">
        <x:v>缺少資料</x:v>
      </x:c>
      <x:c r="C199" s="16"/>
      <x:c r="D199" s="16"/>
      <x:c r="E199" s="16" t="str">
        <x:v>缺少資料</x:v>
      </x:c>
      <x:c r="F199" s="22" t="str">
        <x:v>原始儲存格空白／無可用數值</x:v>
      </x:c>
      <x:c r="G199" s="22" t="str">
        <x:v>/Users/yuntzuyu/Downloads/e-loan/Year/E-loan YYYY_Nexstar 2025.xls#Report1!M120; label=A120; dates=M6,M76; unit=O4</x:v>
      </x:c>
    </x:row>
    <x:row r="200">
      <x:c r="A200" s="16" t="str">
        <x:v>Year/da/fy_t_minus_1</x:v>
      </x:c>
      <x:c r="B200" s="18" t="n">
        <x:f>IF(AND(ISNUMBER(C200),ISNUMBER(D200)),C200*D200/1000000,"缺少資料")</x:f>
        <x:v>808</x:v>
      </x:c>
      <x:c r="C200" s="16" t="n">
        <x:v>808000</x:v>
      </x:c>
      <x:c r="D200" s="16" t="n">
        <x:v>1000</x:v>
      </x:c>
      <x:c r="E200" s="16" t="str">
        <x:v>sourced</x:v>
      </x:c>
      <x:c r="F200" s="22" t="str">
        <x:v>Depreciation &amp; Amortization</x:v>
      </x:c>
      <x:c r="G200" s="22" t="str">
        <x:v>/Users/yuntzuyu/Downloads/e-loan/Year/E-loan YYYY_Nexstar 2025.xls#Report1!M121; label=A121; dates=M6,M76; unit=O4</x:v>
      </x:c>
    </x:row>
    <x:row r="201">
      <x:c r="A201" s="16" t="str">
        <x:v>Year/current_assets/fy_t</x:v>
      </x:c>
      <x:c r="B201" s="18" t="n">
        <x:f>IF(AND(ISNUMBER(C201),ISNUMBER(D201)),C201*D201/1000000,"缺少資料")</x:f>
        <x:v>1473</x:v>
      </x:c>
      <x:c r="C201" s="16" t="n">
        <x:v>1473000</x:v>
      </x:c>
      <x:c r="D201" s="16" t="n">
        <x:v>1000</x:v>
      </x:c>
      <x:c r="E201" s="16" t="str">
        <x:v>sourced</x:v>
      </x:c>
      <x:c r="F201" s="22" t="str">
        <x:v>Current Assets</x:v>
      </x:c>
      <x:c r="G201" s="22" t="str">
        <x:v>/Users/yuntzuyu/Downloads/e-loan/Year/E-loan YYYY_Nexstar 2025.xls#Report1!R10; label=A10; dates=R6,R76; unit=O4</x:v>
      </x:c>
    </x:row>
    <x:row r="202">
      <x:c r="A202" s="16" t="str">
        <x:v>Year/current_liabilities/fy_t</x:v>
      </x:c>
      <x:c r="B202" s="18" t="n">
        <x:f>IF(AND(ISNUMBER(C202),ISNUMBER(D202)),C202*D202/1000000,"缺少資料")</x:f>
        <x:v>711</x:v>
      </x:c>
      <x:c r="C202" s="16" t="n">
        <x:v>711000</x:v>
      </x:c>
      <x:c r="D202" s="16" t="n">
        <x:v>1000</x:v>
      </x:c>
      <x:c r="E202" s="16" t="str">
        <x:v>sourced</x:v>
      </x:c>
      <x:c r="F202" s="22" t="str">
        <x:v>Current Liabilities</x:v>
      </x:c>
      <x:c r="G202" s="22" t="str">
        <x:v>/Users/yuntzuyu/Downloads/e-loan/Year/E-loan YYYY_Nexstar 2025.xls#Report1!R40; label=A40; dates=R6,R76; unit=O4</x:v>
      </x:c>
    </x:row>
    <x:row r="203">
      <x:c r="A203" s="16" t="str">
        <x:v>Year/total_liabilities/fy_t</x:v>
      </x:c>
      <x:c r="B203" s="18" t="n">
        <x:f>IF(AND(ISNUMBER(C203),ISNUMBER(D203)),C203*D203/1000000,"缺少資料")</x:f>
        <x:v>8784</x:v>
      </x:c>
      <x:c r="C203" s="16" t="n">
        <x:v>8784000</x:v>
      </x:c>
      <x:c r="D203" s="16" t="n">
        <x:v>1000</x:v>
      </x:c>
      <x:c r="E203" s="16" t="str">
        <x:v>sourced</x:v>
      </x:c>
      <x:c r="F203" s="22" t="str">
        <x:v>Total Liabilities</x:v>
      </x:c>
      <x:c r="G203" s="22" t="str">
        <x:v>/Users/yuntzuyu/Downloads/e-loan/Year/E-loan YYYY_Nexstar 2025.xls#Report1!R62; label=A62; dates=R6,R76; unit=O4</x:v>
      </x:c>
    </x:row>
    <x:row r="204">
      <x:c r="A204" s="16" t="str">
        <x:v>Year/quick_assets/fy_t</x:v>
      </x:c>
      <x:c r="B204" s="18" t="str">
        <x:v>缺少資料</x:v>
      </x:c>
      <x:c r="C204" s="16"/>
      <x:c r="D204" s="16"/>
      <x:c r="E204" s="16" t="str">
        <x:v>缺少資料</x:v>
      </x:c>
      <x:c r="F204" s="22" t="str">
        <x:v>既有底稿未提供可核實的來源科目／組成；不等於SEC未揭露</x:v>
      </x:c>
      <x:c r="G204" s="22" t="str"/>
    </x:row>
    <x:row r="205">
      <x:c r="A205" s="16" t="str">
        <x:v>Year/net_worth/fy_t</x:v>
      </x:c>
      <x:c r="B205" s="18" t="str">
        <x:v>無法計算／待確認</x:v>
      </x:c>
      <x:c r="C205" s="16"/>
      <x:c r="D205" s="16"/>
      <x:c r="E205" s="16" t="str">
        <x:v>無法計算／待確認</x:v>
      </x:c>
      <x:c r="F205" s="22" t="str">
        <x:v>Approved policy; company-specific source definition not yet verified; candidate retained</x:v>
      </x:c>
      <x:c r="G205" s="22" t="str">
        <x:v>/Users/yuntzuyu/Downloads/e-loan/Year/E-loan YYYY_Nexstar 2025.xls#Report1!R70; label=A70; dates=R6,R76; unit=O4</x:v>
      </x:c>
    </x:row>
    <x:row r="206">
      <x:c r="A206" s="16" t="str">
        <x:v>Year/capitalized_interest/fy_t</x:v>
      </x:c>
      <x:c r="B206" s="18" t="str">
        <x:v>缺少資料</x:v>
      </x:c>
      <x:c r="C206" s="16"/>
      <x:c r="D206" s="16"/>
      <x:c r="E206" s="16" t="str">
        <x:v>缺少資料</x:v>
      </x:c>
      <x:c r="F206" s="22" t="str">
        <x:v>原始儲存格空白／無可用數值</x:v>
      </x:c>
      <x:c r="G206" s="22" t="str">
        <x:v>/Users/yuntzuyu/Downloads/e-loan/Year/E-loan YYYY_Nexstar 2025.xls#Report1!R120; label=A120; dates=R6,R76; unit=O4</x:v>
      </x:c>
    </x:row>
    <x:row r="207">
      <x:c r="A207" s="16" t="str">
        <x:v>Year/da/fy_t</x:v>
      </x:c>
      <x:c r="B207" s="18" t="n">
        <x:f>IF(AND(ISNUMBER(C207),ISNUMBER(D207)),C207*D207/1000000,"缺少資料")</x:f>
        <x:v>785</x:v>
      </x:c>
      <x:c r="C207" s="16" t="n">
        <x:v>785000</x:v>
      </x:c>
      <x:c r="D207" s="16" t="n">
        <x:v>1000</x:v>
      </x:c>
      <x:c r="E207" s="16" t="str">
        <x:v>sourced</x:v>
      </x:c>
      <x:c r="F207" s="22" t="str">
        <x:v>Depreciation &amp; Amortization</x:v>
      </x:c>
      <x:c r="G207" s="22" t="str">
        <x:v>/Users/yuntzuyu/Downloads/e-loan/Year/E-loan YYYY_Nexstar 2025.xls#Report1!R121; label=A121; dates=R6,R76; unit=O4</x:v>
      </x:c>
    </x:row>
    <x:row r="208">
      <x:c r="A208" s="16" t="str">
        <x:v>Year/revenue_growth/fy_t_minus_3</x:v>
      </x:c>
      <x:c r="B208" s="19" t="str">
        <x:v>無法計算／待確認</x:v>
      </x:c>
      <x:c r="C208" s="16"/>
      <x:c r="D208" s="16"/>
      <x:c r="E208" s="16" t="str">
        <x:v>無法計算／待確認</x:v>
      </x:c>
      <x:c r="F208" s="22" t="str">
        <x:v>Required inputs unavailable</x:v>
      </x:c>
      <x:c r="G208" s="22" t="str"/>
    </x:row>
    <x:row r="209">
      <x:c r="A209" s="16" t="str">
        <x:v>Year/gross_margin/fy_t_minus_3</x:v>
      </x:c>
      <x:c r="B209" s="19" t="n">
        <x:f>IF(AND(ISNUMBER(B66),ISNUMBER(B54)),IF(B54=0,"無法計算",B66/B54),"缺少資料")</x:f>
        <x:v>0.6152369986566878</x:v>
      </x:c>
      <x:c r="C209" s="16"/>
      <x:c r="D209" s="16"/>
      <x:c r="E209" s="16" t="str">
        <x:v>calculated</x:v>
      </x:c>
      <x:c r="F209" s="22" t="str">
        <x:v>Gross Profit / Revenues</x:v>
      </x:c>
      <x:c r="G209" s="22" t="str"/>
    </x:row>
    <x:row r="210">
      <x:c r="A210" s="16" t="str">
        <x:v>Year/operating_margin/fy_t_minus_3</x:v>
      </x:c>
      <x:c r="B210" s="19" t="n">
        <x:f>IF(AND(ISNUMBER(B78),ISNUMBER(B54)),IF(B54=0,"無法計算",B78/B54),"缺少資料")</x:f>
        <x:v>0.25179428132796006</x:v>
      </x:c>
      <x:c r="C210" s="16"/>
      <x:c r="D210" s="16"/>
      <x:c r="E210" s="16" t="str">
        <x:v>calculated</x:v>
      </x:c>
      <x:c r="F210" s="22" t="str">
        <x:v>Operating Profit / Revenues</x:v>
      </x:c>
      <x:c r="G210" s="22" t="str"/>
    </x:row>
    <x:row r="211">
      <x:c r="A211" s="16" t="str">
        <x:v>Year/pretax_margin/fy_t_minus_3</x:v>
      </x:c>
      <x:c r="B211" s="19" t="n">
        <x:f>IF(AND(ISNUMBER(B90),ISNUMBER(B54)),IF(B54=0,"無法計算",B90/B54),"缺少資料")</x:f>
        <x:v>0.2335636154289004</x:v>
      </x:c>
      <x:c r="C211" s="16"/>
      <x:c r="D211" s="16"/>
      <x:c r="E211" s="16" t="str">
        <x:v>calculated</x:v>
      </x:c>
      <x:c r="F211" s="22" t="str">
        <x:v>Pre-tax Profit / Revenues</x:v>
      </x:c>
      <x:c r="G211" s="22" t="str"/>
    </x:row>
    <x:row r="212">
      <x:c r="A212" s="16" t="str">
        <x:v>Year/operating_margin_change/fy_t_minus_3</x:v>
      </x:c>
      <x:c r="B212" s="19" t="str">
        <x:v>無法計算／待確認</x:v>
      </x:c>
      <x:c r="C212" s="16"/>
      <x:c r="D212" s="16"/>
      <x:c r="E212" s="16" t="str">
        <x:v>無法計算／待確認</x:v>
      </x:c>
      <x:c r="F212" s="22" t="str">
        <x:v>Required inputs unavailable</x:v>
      </x:c>
      <x:c r="G212" s="22" t="str"/>
    </x:row>
    <x:row r="213">
      <x:c r="A213" s="16" t="str">
        <x:v>Year/revenue_growth/fy_t_minus_2</x:v>
      </x:c>
      <x:c r="B213" s="19" t="n">
        <x:f>IF(AND(ISNUMBER(B55),ISNUMBER(B54)),IF(B54=0,"無法計算",(B55-B54)/B54),"缺少資料")</x:f>
        <x:v>-0.0533486854730378</x:v>
      </x:c>
      <x:c r="C213" s="16"/>
      <x:c r="D213" s="16"/>
      <x:c r="E213" s="16" t="str">
        <x:v>calculated</x:v>
      </x:c>
      <x:c r="F213" s="22" t="str">
        <x:v>(Current Year Revenues - Previous Year Revenues) / Previous Year Revenues</x:v>
      </x:c>
      <x:c r="G213" s="22" t="str"/>
    </x:row>
    <x:row r="214">
      <x:c r="A214" s="16" t="str">
        <x:v>Year/gross_margin/fy_t_minus_2</x:v>
      </x:c>
      <x:c r="B214" s="19" t="n">
        <x:f>IF(AND(ISNUMBER(B67),ISNUMBER(B55)),IF(B55=0,"無法計算",B67/B55),"缺少資料")</x:f>
        <x:v>0.5635515913237381</x:v>
      </x:c>
      <x:c r="C214" s="16"/>
      <x:c r="D214" s="16"/>
      <x:c r="E214" s="16" t="str">
        <x:v>calculated</x:v>
      </x:c>
      <x:c r="F214" s="22" t="str">
        <x:v>Gross Profit / Revenues</x:v>
      </x:c>
      <x:c r="G214" s="22" t="str"/>
    </x:row>
    <x:row r="215">
      <x:c r="A215" s="16" t="str">
        <x:v>Year/operating_margin/fy_t_minus_2</x:v>
      </x:c>
      <x:c r="B215" s="19" t="n">
        <x:f>IF(AND(ISNUMBER(B79),ISNUMBER(B55)),IF(B55=0,"無法計算",B79/B55),"缺少資料")</x:f>
        <x:v>0.14352321102777216</x:v>
      </x:c>
      <x:c r="C215" s="16"/>
      <x:c r="D215" s="16"/>
      <x:c r="E215" s="16" t="str">
        <x:v>calculated</x:v>
      </x:c>
      <x:c r="F215" s="22" t="str">
        <x:v>Operating Profit / Revenues</x:v>
      </x:c>
      <x:c r="G215" s="22" t="str"/>
    </x:row>
    <x:row r="216">
      <x:c r="A216" s="16" t="str">
        <x:v>Year/pretax_margin/fy_t_minus_2</x:v>
      </x:c>
      <x:c r="B216" s="19" t="n">
        <x:f>IF(AND(ISNUMBER(B91),ISNUMBER(B55)),IF(B55=0,"無法計算",B91/B55),"缺少資料")</x:f>
        <x:v>0.08128927630245286</x:v>
      </x:c>
      <x:c r="C216" s="16"/>
      <x:c r="D216" s="16"/>
      <x:c r="E216" s="16" t="str">
        <x:v>calculated</x:v>
      </x:c>
      <x:c r="F216" s="22" t="str">
        <x:v>Pre-tax Profit / Revenues</x:v>
      </x:c>
      <x:c r="G216" s="22" t="str"/>
    </x:row>
    <x:row r="217">
      <x:c r="A217" s="16" t="str">
        <x:v>Year/operating_margin_change/fy_t_minus_2</x:v>
      </x:c>
      <x:c r="B217" s="19" t="n">
        <x:f>IF(AND(ISNUMBER(B215),ISNUMBER(B210)),B215-B210,"缺少資料")</x:f>
        <x:v>-0.1082710703001879</x:v>
      </x:c>
      <x:c r="C217" s="16"/>
      <x:c r="D217" s="16"/>
      <x:c r="E217" s="16" t="str">
        <x:v>calculated</x:v>
      </x:c>
      <x:c r="F217" s="22" t="str">
        <x:v>Current Operating Profit Margin - Previous Operating Profit Margin</x:v>
      </x:c>
      <x:c r="G217" s="22" t="str"/>
    </x:row>
    <x:row r="218">
      <x:c r="A218" s="16" t="str">
        <x:v>Year/revenue_growth/fy_t_minus_1</x:v>
      </x:c>
      <x:c r="B218" s="19" t="n">
        <x:f>IF(AND(ISNUMBER(B56),ISNUMBER(B55)),IF(B55=0,"無法計算",(B56-B55)/B55),"缺少資料")</x:f>
        <x:v>0.09608757348469492</x:v>
      </x:c>
      <x:c r="C218" s="16"/>
      <x:c r="D218" s="16"/>
      <x:c r="E218" s="16" t="str">
        <x:v>calculated</x:v>
      </x:c>
      <x:c r="F218" s="22" t="str">
        <x:v>(Current Year Revenues - Previous Year Revenues) / Previous Year Revenues</x:v>
      </x:c>
      <x:c r="G218" s="22" t="str"/>
    </x:row>
    <x:row r="219">
      <x:c r="A219" s="16" t="str">
        <x:v>Year/gross_margin/fy_t_minus_1</x:v>
      </x:c>
      <x:c r="B219" s="19" t="n">
        <x:f>IF(AND(ISNUMBER(B68),ISNUMBER(B56)),IF(B56=0,"無法計算",B68/B56),"缺少資料")</x:f>
        <x:v>0.5892361753282782</x:v>
      </x:c>
      <x:c r="C219" s="16"/>
      <x:c r="D219" s="16"/>
      <x:c r="E219" s="16" t="str">
        <x:v>calculated</x:v>
      </x:c>
      <x:c r="F219" s="22" t="str">
        <x:v>Gross Profit / Revenues</x:v>
      </x:c>
      <x:c r="G219" s="22" t="str"/>
    </x:row>
    <x:row r="220">
      <x:c r="A220" s="16" t="str">
        <x:v>Year/operating_margin/fy_t_minus_1</x:v>
      </x:c>
      <x:c r="B220" s="19" t="n">
        <x:f>IF(AND(ISNUMBER(B80),ISNUMBER(B56)),IF(B56=0,"無法計算",B80/B56),"缺少資料")</x:f>
        <x:v>0.23451081930830406</x:v>
      </x:c>
      <x:c r="C220" s="16"/>
      <x:c r="D220" s="16"/>
      <x:c r="E220" s="16" t="str">
        <x:v>calculated</x:v>
      </x:c>
      <x:c r="F220" s="22" t="str">
        <x:v>Operating Profit / Revenues</x:v>
      </x:c>
      <x:c r="G220" s="22" t="str"/>
    </x:row>
    <x:row r="221">
      <x:c r="A221" s="16" t="str">
        <x:v>Year/pretax_margin/fy_t_minus_1</x:v>
      </x:c>
      <x:c r="B221" s="19" t="n">
        <x:f>IF(AND(ISNUMBER(B92),ISNUMBER(B56)),IF(B56=0,"無法計算",B92/B56),"缺少資料")</x:f>
        <x:v>0.17736267800998706</x:v>
      </x:c>
      <x:c r="C221" s="16"/>
      <x:c r="D221" s="16"/>
      <x:c r="E221" s="16" t="str">
        <x:v>calculated</x:v>
      </x:c>
      <x:c r="F221" s="22" t="str">
        <x:v>Pre-tax Profit / Revenues</x:v>
      </x:c>
      <x:c r="G221" s="22" t="str"/>
    </x:row>
    <x:row r="222">
      <x:c r="A222" s="16" t="str">
        <x:v>Year/operating_margin_change/fy_t_minus_1</x:v>
      </x:c>
      <x:c r="B222" s="19" t="n">
        <x:f>IF(AND(ISNUMBER(B220),ISNUMBER(B215)),B220-B215,"缺少資料")</x:f>
        <x:v>0.0909876082805319</x:v>
      </x:c>
      <x:c r="C222" s="16"/>
      <x:c r="D222" s="16"/>
      <x:c r="E222" s="16" t="str">
        <x:v>calculated</x:v>
      </x:c>
      <x:c r="F222" s="22" t="str">
        <x:v>Current Operating Profit Margin - Previous Operating Profit Margin</x:v>
      </x:c>
      <x:c r="G222" s="22" t="str"/>
    </x:row>
    <x:row r="223">
      <x:c r="A223" s="16" t="str">
        <x:v>Year/revenue_growth/fy_t</x:v>
      </x:c>
      <x:c r="B223" s="19" t="n">
        <x:f>IF(AND(ISNUMBER(B58),ISNUMBER(B56)),IF(B56=0,"無法計算",(B58-B56)/B56),"缺少資料")</x:f>
        <x:v>-0.08470501202145367</x:v>
      </x:c>
      <x:c r="C223" s="16"/>
      <x:c r="D223" s="16"/>
      <x:c r="E223" s="16" t="str">
        <x:v>calculated</x:v>
      </x:c>
      <x:c r="F223" s="22" t="str">
        <x:v>(Current Year Revenues - Previous Year Revenues) / Previous Year Revenues</x:v>
      </x:c>
      <x:c r="G223" s="22" t="str"/>
    </x:row>
    <x:row r="224">
      <x:c r="A224" s="16" t="str">
        <x:v>Year/gross_margin/fy_t</x:v>
      </x:c>
      <x:c r="B224" s="19" t="n">
        <x:f>IF(AND(ISNUMBER(B70),ISNUMBER(B58)),IF(B58=0,"無法計算",B70/B58),"缺少資料")</x:f>
        <x:v>0.5483936148716912</x:v>
      </x:c>
      <x:c r="C224" s="16"/>
      <x:c r="D224" s="16"/>
      <x:c r="E224" s="16" t="str">
        <x:v>calculated</x:v>
      </x:c>
      <x:c r="F224" s="22" t="str">
        <x:v>Gross Profit / Revenues</x:v>
      </x:c>
      <x:c r="G224" s="22" t="str"/>
    </x:row>
    <x:row r="225">
      <x:c r="A225" s="16" t="str">
        <x:v>Year/operating_margin/fy_t</x:v>
      </x:c>
      <x:c r="B225" s="19" t="n">
        <x:f>IF(AND(ISNUMBER(B82),ISNUMBER(B58)),IF(B58=0,"無法計算",B82/B58),"缺少資料")</x:f>
        <x:v>0.17154980804202868</x:v>
      </x:c>
      <x:c r="C225" s="16"/>
      <x:c r="D225" s="16"/>
      <x:c r="E225" s="16" t="str">
        <x:v>calculated</x:v>
      </x:c>
      <x:c r="F225" s="22" t="str">
        <x:v>Operating Profit / Revenues</x:v>
      </x:c>
      <x:c r="G225" s="22" t="str"/>
    </x:row>
    <x:row r="226">
      <x:c r="A226" s="16" t="str">
        <x:v>Year/pretax_margin/fy_t</x:v>
      </x:c>
      <x:c r="B226" s="19" t="n">
        <x:f>IF(AND(ISNUMBER(B94),ISNUMBER(B58)),IF(B58=0,"無法計算",B94/B58),"缺少資料")</x:f>
        <x:v>0.030309153364316024</x:v>
      </x:c>
      <x:c r="C226" s="16"/>
      <x:c r="D226" s="16"/>
      <x:c r="E226" s="16" t="str">
        <x:v>calculated</x:v>
      </x:c>
      <x:c r="F226" s="22" t="str">
        <x:v>Pre-tax Profit / Revenues</x:v>
      </x:c>
      <x:c r="G226" s="22" t="str"/>
    </x:row>
    <x:row r="227">
      <x:c r="A227" s="16" t="str">
        <x:v>Year/operating_margin_change/fy_t</x:v>
      </x:c>
      <x:c r="B227" s="19" t="n">
        <x:f>IF(AND(ISNUMBER(B225),ISNUMBER(B220)),B225-B220,"缺少資料")</x:f>
        <x:v>-0.06296101126627537</x:v>
      </x:c>
      <x:c r="C227" s="16"/>
      <x:c r="D227" s="16"/>
      <x:c r="E227" s="16" t="str">
        <x:v>calculated</x:v>
      </x:c>
      <x:c r="F227" s="22" t="str">
        <x:v>Current Operating Profit Margin - Previous Operating Profit Margin</x:v>
      </x:c>
      <x:c r="G227" s="22" t="str"/>
    </x:row>
    <x:row r="228">
      <x:c r="A228" s="16"/>
      <x:c r="B228" s="16"/>
      <x:c r="C228" s="16"/>
      <x:c r="D228" s="16"/>
      <x:c r="E228" s="16"/>
      <x:c r="F228" s="22"/>
      <x:c r="G228" s="22"/>
    </x:row>
  </x:sheetData>
  <x:pageMargins left="0.7" right="0.7" top="0.75" bottom="0.75" header="0.3" footer="0.3"/>
</x:worksheet>
</file>