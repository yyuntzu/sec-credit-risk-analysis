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5968cc7da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新各公司" sheetId="1" r:id="Rb338bc8b8df74181"/>
    <x:sheet xmlns:r="http://schemas.openxmlformats.org/officeDocument/2006/relationships" name="指標明細" sheetId="2" r:id="R978d3abf1c8b4e69"/>
    <x:sheet xmlns:r="http://schemas.openxmlformats.org/officeDocument/2006/relationships" name="計算底稿" sheetId="3" r:id="Rdeef3b0c08ee405e"/>
    <x:sheet xmlns:r="http://schemas.openxmlformats.org/officeDocument/2006/relationships" name="原始數據" sheetId="4" r:id="R0f9da85356e24d2e"/>
    <x:sheet xmlns:r="http://schemas.openxmlformats.org/officeDocument/2006/relationships" name="口徑說明" sheetId="5" r:id="R53351590c81d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.00%"/>
    <x:numFmt numFmtId="202" formatCode="0.00&quot;x&quot;"/>
  </x:numFmts>
  <x:fonts count="7">
    <x:font>
      <x:sz val="11"/>
      <x:name val="Carlito"/>
    </x:font>
    <x:font>
      <x:b/>
      <x:sz val="14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25ef7fb434785" /><Relationship Type="http://schemas.openxmlformats.org/officeDocument/2006/relationships/theme" Target="/xl/theme/theme1.xml" Id="Raa8422c35f7f4562" /><Relationship Type="http://schemas.openxmlformats.org/officeDocument/2006/relationships/sharedStrings" Target="/xl/sharedStrings.xml" Id="R4d7f6dc9aac545c2" /><Relationship Type="http://schemas.openxmlformats.org/officeDocument/2006/relationships/worksheet" Target="/xl/worksheets/sheet1.xml" Id="Rb338bc8b8df74181" /><Relationship Type="http://schemas.openxmlformats.org/officeDocument/2006/relationships/worksheet" Target="/xl/worksheets/sheet2.xml" Id="R978d3abf1c8b4e69" /><Relationship Type="http://schemas.openxmlformats.org/officeDocument/2006/relationships/worksheet" Target="/xl/worksheets/sheet3.xml" Id="Rdeef3b0c08ee405e" /><Relationship Type="http://schemas.openxmlformats.org/officeDocument/2006/relationships/worksheet" Target="/xl/worksheets/sheet4.xml" Id="R0f9da85356e24d2e" /><Relationship Type="http://schemas.openxmlformats.org/officeDocument/2006/relationships/worksheet" Target="/xl/worksheets/sheet5.xml" Id="R53351590c81d4dc0" /></Relationships>
</file>

<file path=xl/tables/table1.xml><?xml version="1.0" encoding="utf-8"?>
<x:table xmlns:x="http://schemas.openxmlformats.org/spreadsheetml/2006/main" id="1" name="Metrics" displayName="Metrics" ref="A5:L489" headerRowCount="1" totalsRowCount="0" totalsRowShown="0">
  <x:tableColumns count="12">
    <x:tableColumn id="1" name="公司"/>
    <x:tableColumn id="2" name="損益期間"/>
    <x:tableColumn id="3" name="資產負債日"/>
    <x:tableColumn id="4" name="指標"/>
    <x:tableColumn id="5" name="數值"/>
    <x:tableColumn id="6" name="單位"/>
    <x:tableColumn id="7" name="數值性質"/>
    <x:tableColumn id="8" name="原始來源儲存格"/>
    <x:tableColumn id="9" name="計算／驗算公式"/>
    <x:tableColumn id="10" name="本檔計算儲存格"/>
    <x:tableColumn id="11" name="口徑差異與限制"/>
    <x:tableColumn id="12" name="來源檔案完整路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008a1d8924d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1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42" hidden="0" customWidth="1"/>
    <x:col min="15" max="15" width="45" hidden="0" customWidth="1"/>
  </x:cols>
  <x:sheetData>
    <x:row r="2">
      <x:c r="A2" s="1" t="str">
        <x:v>最新各公司</x:v>
      </x:c>
    </x:row>
    <x:row r="3">
      <x:c r="A3" t="str">
        <x:v>* 推算值；Total debt為列示項目小計，Leverage非契約倍數。XPO最新為2025全年，其他公司為2026上半年。</x:v>
      </x:c>
    </x:row>
    <x:row r="5" ht="32" customHeight="1">
      <x:c r="A5" s="5" t="str">
        <x:v>公司</x:v>
      </x:c>
      <x:c r="B5" s="5" t="str">
        <x:v>截至日期</x:v>
      </x:c>
      <x:c r="C5" s="5" t="str">
        <x:v>損益期間</x:v>
      </x:c>
      <x:c r="D5" s="5" t="str">
        <x:v>金額USD百萬</x:v>
      </x:c>
      <x:c r="E5" s="5" t="str">
        <x:v>Cost of revenues</x:v>
      </x:c>
      <x:c r="F5" s="5" t="str">
        <x:v>Gross profit</x:v>
      </x:c>
      <x:c r="G5" s="5" t="str">
        <x:v>Operating expense</x:v>
      </x:c>
      <x:c r="H5" s="5" t="str">
        <x:v>Interest expense</x:v>
      </x:c>
      <x:c r="I5" s="5" t="str">
        <x:v>Quick ratio</x:v>
      </x:c>
      <x:c r="J5" s="5" t="str">
        <x:v>Debt ratio</x:v>
      </x:c>
      <x:c r="K5" s="5" t="str">
        <x:v>Total debt*</x:v>
      </x:c>
      <x:c r="L5" s="5" t="str">
        <x:v>LTM EBITDA*</x:v>
      </x:c>
      <x:c r="M5" s="5" t="str">
        <x:v>Leverage*</x:v>
      </x:c>
      <x:c r="N5" s="5" t="str">
        <x:v>EBITDA basis</x:v>
      </x:c>
      <x:c r="O5" s="5" t="str">
        <x:v>來源版本</x:v>
      </x:c>
    </x:row>
    <x:row r="6" ht="25" customHeight="1">
      <x:c r="A6" s="3" t="str">
        <x:v>NEXSTAR MEDIA GROUP, INC.</x:v>
      </x:c>
      <x:c r="B6" s="3" t="str">
        <x:v>2026-06-30</x:v>
      </x:c>
      <x:c r="C6" s="3" t="str">
        <x:v>2026-01-01~2026-06-30</x:v>
      </x:c>
      <x:c r="D6" s="3" t="str">
        <x:v>統一USD百萬</x:v>
      </x:c>
      <x:c r="E6" s="6" t="n">
        <x:f>'計算底稿'!F13*'計算底稿'!E13</x:f>
        <x:v>1541</x:v>
      </x:c>
      <x:c r="F6" s="6" t="n">
        <x:f>'計算底稿'!G13*'計算底稿'!E13</x:f>
        <x:v>1848</x:v>
      </x:c>
      <x:c r="G6" s="6" t="n">
        <x:f>'計算底稿'!H13*'計算底稿'!E13</x:f>
        <x:v>1221</x:v>
      </x:c>
      <x:c r="H6" s="6" t="n">
        <x:f>'計算底稿'!I13*'計算底稿'!E13</x:f>
        <x:v>309</x:v>
      </x:c>
      <x:c r="I6" s="7" t="n">
        <x:f>'計算底稿'!J13</x:f>
        <x:v>1.4034</x:v>
      </x:c>
      <x:c r="J6" s="7" t="n">
        <x:f>'計算底稿'!K13</x:f>
        <x:v>6.8246</x:v>
      </x:c>
      <x:c r="K6" s="6" t="n">
        <x:f>'計算底稿'!L13*'計算底稿'!E13</x:f>
        <x:v>11744</x:v>
      </x:c>
      <x:c r="L6" s="6" t="n">
        <x:f>'計算底稿'!P13*'計算底稿'!E13</x:f>
        <x:v>1527</x:v>
      </x:c>
      <x:c r="M6" s="8" t="n">
        <x:f>'計算底稿'!Q13</x:f>
        <x:v>7.690897184020956</x:v>
      </x:c>
      <x:c r="N6" s="3" t="str">
        <x:v>稅前損益＋利息＋折舊攤銷</x:v>
      </x:c>
      <x:c r="O6" s="3" t="str">
        <x:v>E-Loan YQYQ-Nexstar Q2.xls</x:v>
      </x:c>
    </x:row>
    <x:row r="7" ht="25" customHeight="1">
      <x:c r="A7" s="3" t="str">
        <x:v>CROCS, INC.</x:v>
      </x:c>
      <x:c r="B7" s="3" t="str">
        <x:v>2026-06-30</x:v>
      </x:c>
      <x:c r="C7" s="3" t="str">
        <x:v>2026-01-01~2026-06-30</x:v>
      </x:c>
      <x:c r="D7" s="3" t="str">
        <x:v>統一USD百萬</x:v>
      </x:c>
      <x:c r="E7" s="6" t="n">
        <x:f>'計算底稿'!F17*'計算底稿'!E17</x:f>
        <x:v>877.273</x:v>
      </x:c>
      <x:c r="F7" s="6" t="n">
        <x:f>'計算底稿'!G17*'計算底稿'!E17</x:f>
        <x:v>1223.652</x:v>
      </x:c>
      <x:c r="G7" s="6" t="n">
        <x:f>'計算底稿'!H17*'計算底稿'!E17</x:f>
        <x:v>737.13</x:v>
      </x:c>
      <x:c r="H7" s="6" t="n">
        <x:f>'計算底稿'!I17*'計算底稿'!E17</x:f>
        <x:v>40.368</x:v>
      </x:c>
      <x:c r="I7" s="7" t="n">
        <x:f>'計算底稿'!J17</x:f>
        <x:v>0.8249</x:v>
      </x:c>
      <x:c r="J7" s="7" t="n">
        <x:f>'計算底稿'!K17</x:f>
        <x:v>2.1461</x:v>
      </x:c>
      <x:c r="K7" s="6" t="n">
        <x:f>'計算底稿'!L17*'計算底稿'!E17</x:f>
        <x:v>1307.6580000000001</x:v>
      </x:c>
      <x:c r="L7" s="6" t="n">
        <x:f>'計算底稿'!P17*'計算底稿'!E17</x:f>
        <x:v>944.114</x:v>
      </x:c>
      <x:c r="M7" s="8" t="n">
        <x:f>'計算底稿'!Q17</x:f>
        <x:v>1.385063668158718</x:v>
      </x:c>
      <x:c r="N7" s="3" t="str">
        <x:v>稅前損益＋利息＋折舊攤銷</x:v>
      </x:c>
      <x:c r="O7" s="3" t="str">
        <x:v>e-Loan YQYQ-CROX Q2.xls</x:v>
      </x:c>
    </x:row>
    <x:row r="8" ht="25" customHeight="1">
      <x:c r="A8" s="3" t="str">
        <x:v>INSULET CORPORATION</x:v>
      </x:c>
      <x:c r="B8" s="3" t="str">
        <x:v>2026-06-30</x:v>
      </x:c>
      <x:c r="C8" s="3" t="str">
        <x:v>2026-01-01~2026-06-30</x:v>
      </x:c>
      <x:c r="D8" s="3" t="str">
        <x:v>統一USD百萬</x:v>
      </x:c>
      <x:c r="E8" s="6" t="n">
        <x:f>'計算底稿'!F21*'計算底稿'!E21</x:f>
        <x:v>472</x:v>
      </x:c>
      <x:c r="F8" s="6" t="n">
        <x:f>'計算底稿'!G21*'計算底稿'!E21</x:f>
        <x:v>1091</x:v>
      </x:c>
      <x:c r="G8" s="6" t="n">
        <x:f>'計算底稿'!H21*'計算底稿'!E21</x:f>
        <x:v>840</x:v>
      </x:c>
      <x:c r="H8" s="6" t="n">
        <x:f>'計算底稿'!I21*'計算底稿'!E21</x:f>
        <x:v>28</x:v>
      </x:c>
      <x:c r="I8" s="7" t="n">
        <x:f>'計算底稿'!J21</x:f>
        <x:v>1.5108000000000001</x:v>
      </x:c>
      <x:c r="J8" s="7" t="n">
        <x:f>'計算底稿'!K21</x:f>
        <x:v>1.2257</x:v>
      </x:c>
      <x:c r="K8" s="6" t="n">
        <x:f>'計算底稿'!L21*'計算底稿'!E21</x:f>
        <x:v>932</x:v>
      </x:c>
      <x:c r="L8" s="6" t="n">
        <x:f>'計算底稿'!P21*'計算底稿'!E21</x:f>
        <x:v>653</x:v>
      </x:c>
      <x:c r="M8" s="8" t="n">
        <x:f>'計算底稿'!Q21</x:f>
        <x:v>1.4272588055130169</x:v>
      </x:c>
      <x:c r="N8" s="3" t="str">
        <x:v>稅前損益＋利息＋折舊攤銷</x:v>
      </x:c>
      <x:c r="O8" s="3" t="str">
        <x:v>e-Loan YQYQ-Insulet Q2.xls</x:v>
      </x:c>
    </x:row>
    <x:row r="9" ht="25" customHeight="1">
      <x:c r="A9" s="3" t="str">
        <x:v>TRANSUNION</x:v>
      </x:c>
      <x:c r="B9" s="3" t="str">
        <x:v>2026-06-30</x:v>
      </x:c>
      <x:c r="C9" s="3" t="str">
        <x:v>2026-01-01~2026-06-30</x:v>
      </x:c>
      <x:c r="D9" s="3" t="str">
        <x:v>統一USD百萬</x:v>
      </x:c>
      <x:c r="E9" s="6" t="n">
        <x:f>'計算底稿'!F29*'計算底稿'!E29</x:f>
        <x:v>1064</x:v>
      </x:c>
      <x:c r="F9" s="6" t="n">
        <x:f>'計算底稿'!G29*'計算底稿'!E29</x:f>
        <x:v>1491</x:v>
      </x:c>
      <x:c r="G9" s="6" t="n">
        <x:f>'計算底稿'!H29*'計算底稿'!E29</x:f>
        <x:v>988</x:v>
      </x:c>
      <x:c r="H9" s="6" t="n">
        <x:f>'計算底稿'!I29*'計算底稿'!E29</x:f>
        <x:v>128</x:v>
      </x:c>
      <x:c r="I9" s="7" t="n">
        <x:f>'計算底稿'!J29</x:f>
        <x:v>1.6466</x:v>
      </x:c>
      <x:c r="J9" s="7" t="n">
        <x:f>'計算底稿'!K29</x:f>
        <x:v>1.4385</x:v>
      </x:c>
      <x:c r="K9" s="6" t="n">
        <x:f>'計算底稿'!L29*'計算底稿'!E29</x:f>
        <x:v>5585</x:v>
      </x:c>
      <x:c r="L9" s="6" t="n">
        <x:f>'計算底稿'!P29*'計算底稿'!E29</x:f>
        <x:v>1750</x:v>
      </x:c>
      <x:c r="M9" s="8" t="n">
        <x:f>'計算底稿'!Q29</x:f>
        <x:v>3.1914285714285713</x:v>
      </x:c>
      <x:c r="N9" s="3" t="str">
        <x:v>稅前損益＋利息＋折舊攤銷</x:v>
      </x:c>
      <x:c r="O9" s="3" t="str">
        <x:v>e-Loan YQYQ-TransUnion Q2.xls</x:v>
      </x:c>
    </x:row>
    <x:row r="10" ht="25" customHeight="1">
      <x:c r="A10" s="3" t="str">
        <x:v>XPO, INC.</x:v>
      </x:c>
      <x:c r="B10" s="3" t="str">
        <x:v>2025-12-31</x:v>
      </x:c>
      <x:c r="C10" s="3" t="str">
        <x:v>2025-01-01~2025-12-31</x:v>
      </x:c>
      <x:c r="D10" s="3" t="str">
        <x:v>統一USD百萬</x:v>
      </x:c>
      <x:c r="E10" s="6" t="n">
        <x:f>'計算底稿'!F37*'計算底稿'!E37</x:f>
        <x:v>3754</x:v>
      </x:c>
      <x:c r="F10" s="6" t="n">
        <x:f>'計算底稿'!G37*'計算底稿'!E37</x:f>
        <x:v>4403</x:v>
      </x:c>
      <x:c r="G10" s="6" t="n">
        <x:f>'計算底稿'!H37*'計算底稿'!E37</x:f>
        <x:v>3747</x:v>
      </x:c>
      <x:c r="H10" s="6" t="n">
        <x:f>'計算底稿'!I37*'計算底稿'!E37</x:f>
        <x:v>219</x:v>
      </x:c>
      <x:c r="I10" s="7" t="n">
        <x:f>'計算底稿'!J37</x:f>
        <x:v>0.865</x:v>
      </x:c>
      <x:c r="J10" s="7" t="n">
        <x:f>'計算底稿'!K37</x:f>
        <x:v>3.403</x:v>
      </x:c>
      <x:c r="K10" s="6" t="n">
        <x:f>'計算底稿'!L37*'計算底稿'!E37</x:f>
        <x:v>3056</x:v>
      </x:c>
      <x:c r="L10" s="6" t="n">
        <x:f>'計算底稿'!P37*'計算底稿'!E37</x:f>
        <x:v>1177</x:v>
      </x:c>
      <x:c r="M10" s="8" t="n">
        <x:f>'計算底稿'!Q37</x:f>
        <x:v>2.5964316057774</x:v>
      </x:c>
      <x:c r="N10" s="3" t="str">
        <x:v>稅前損益＋利息＋折舊攤銷</x:v>
      </x:c>
      <x:c r="O10" s="3" t="str">
        <x:v>E-loan YYYY_XPO 2025.xls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1" hidden="0" customWidth="1"/>
    <x:col min="3" max="3" width="16" hidden="0" customWidth="1"/>
    <x:col min="4" max="4" width="29" hidden="0" customWidth="1"/>
    <x:col min="5" max="5" width="20" hidden="0" customWidth="1"/>
    <x:col min="6" max="6" width="18" hidden="0" customWidth="1"/>
    <x:col min="7" max="7" width="28" hidden="0" customWidth="1"/>
    <x:col min="8" max="8" width="62" hidden="0" customWidth="1"/>
    <x:col min="9" max="9" width="62" hidden="0" customWidth="1"/>
    <x:col min="10" max="10" width="26" hidden="0" customWidth="1"/>
    <x:col min="11" max="11" width="76" hidden="0" customWidth="1"/>
    <x:col min="12" max="12" width="90" hidden="0" customWidth="1"/>
  </x:cols>
  <x:sheetData>
    <x:row r="2">
      <x:c r="A2" s="1" t="str">
        <x:v>指標明細</x:v>
      </x:c>
    </x:row>
    <x:row r="3">
      <x:c r="A3" t="str">
        <x:v>各來源版本分開保留，重複年度不合併；篩選公司、期間、指標查看。所有推算均可追溯到原始數據。</x:v>
      </x:c>
    </x:row>
    <x:row r="5" ht="32" customHeight="1">
      <x:c r="A5" s="5" t="str">
        <x:v>公司</x:v>
      </x:c>
      <x:c r="B5" s="5" t="str">
        <x:v>損益期間</x:v>
      </x:c>
      <x:c r="C5" s="5" t="str">
        <x:v>資產負債日</x:v>
      </x:c>
      <x:c r="D5" s="5" t="str">
        <x:v>指標</x:v>
      </x:c>
      <x:c r="E5" s="5" t="str">
        <x:v>數值</x:v>
      </x:c>
      <x:c r="F5" s="5" t="str">
        <x:v>單位</x:v>
      </x:c>
      <x:c r="G5" s="5" t="str">
        <x:v>數值性質</x:v>
      </x:c>
      <x:c r="H5" s="5" t="str">
        <x:v>原始來源儲存格</x:v>
      </x:c>
      <x:c r="I5" s="5" t="str">
        <x:v>計算／驗算公式</x:v>
      </x:c>
      <x:c r="J5" s="5" t="str">
        <x:v>本檔計算儲存格</x:v>
      </x:c>
      <x:c r="K5" s="5" t="str">
        <x:v>口徑差異與限制</x:v>
      </x:c>
      <x:c r="L5" s="5" t="str">
        <x:v>來源檔案完整路徑</x:v>
      </x:c>
    </x:row>
    <x:row r="6" ht="25" customHeight="1">
      <x:c r="A6" s="3" t="str">
        <x:v>NEXSTAR MEDIA GROUP, INC.</x:v>
      </x:c>
      <x:c r="B6" s="3" t="str">
        <x:v>2024-01-01~2024-12-31</x:v>
      </x:c>
      <x:c r="C6" s="3" t="str">
        <x:v>2024-12-31</x:v>
      </x:c>
      <x:c r="D6" s="3" t="str">
        <x:v>Cost of revenues</x:v>
      </x:c>
      <x:c r="E6" s="6" t="n">
        <x:f>'計算底稿'!F6</x:f>
        <x:v>2221000</x:v>
      </x:c>
      <x:c r="F6" s="3" t="str">
        <x:v>USD  thousand</x:v>
      </x:c>
      <x:c r="G6" s="3" t="str">
        <x:v>原始報表數字</x:v>
      </x:c>
      <x:c r="H6" s="3" t="str">
        <x:v>Report1!D86</x:v>
      </x:c>
      <x:c r="I6" s="3" t="str">
        <x:v>營收−毛利（驗算）</x:v>
      </x:c>
      <x:c r="J6" s="3" t="str">
        <x:v>計算底稿!F6</x:v>
      </x:c>
      <x:c r="K6" s="3" t="str">
        <x:v>對應Operating Cost/COGS；缺成本細項。</x:v>
      </x:c>
      <x:c r="L6" s="3" t="str">
        <x:v>/Users/yuntzuyu/Downloads/e-loan/Quarter/E-Loan YQYQ-Nexstar Q1.xls</x:v>
      </x:c>
    </x:row>
    <x:row r="7" ht="25" customHeight="1">
      <x:c r="A7" s="3" t="str">
        <x:v>NEXSTAR MEDIA GROUP, INC.</x:v>
      </x:c>
      <x:c r="B7" s="3" t="str">
        <x:v>2024-01-01~2024-12-31</x:v>
      </x:c>
      <x:c r="C7" s="3" t="str">
        <x:v>2024-12-31</x:v>
      </x:c>
      <x:c r="D7" s="3" t="str">
        <x:v>Gross profit</x:v>
      </x:c>
      <x:c r="E7" s="6" t="n">
        <x:f>'計算底稿'!G6</x:f>
        <x:v>3186000</x:v>
      </x:c>
      <x:c r="F7" s="3" t="str">
        <x:v>USD  thousand</x:v>
      </x:c>
      <x:c r="G7" s="3" t="str">
        <x:v>原始報表數字</x:v>
      </x:c>
      <x:c r="H7" s="3" t="str">
        <x:v>Report1!D94, Report1!D80, Report1!D86</x:v>
      </x:c>
      <x:c r="I7" s="3" t="str">
        <x:v>營收−營收成本</x:v>
      </x:c>
      <x:c r="J7" s="3" t="str">
        <x:v>計算底稿!G6</x:v>
      </x:c>
      <x:c r="K7" s="3" t="str">
        <x:v>原值與驗算一致。</x:v>
      </x:c>
      <x:c r="L7" s="3" t="str">
        <x:v>/Users/yuntzuyu/Downloads/e-loan/Quarter/E-Loan YQYQ-Nexstar Q1.xls</x:v>
      </x:c>
    </x:row>
    <x:row r="8" ht="25" customHeight="1">
      <x:c r="A8" s="3" t="str">
        <x:v>NEXSTAR MEDIA GROUP, INC.</x:v>
      </x:c>
      <x:c r="B8" s="3" t="str">
        <x:v>2024-01-01~2024-12-31</x:v>
      </x:c>
      <x:c r="C8" s="3" t="str">
        <x:v>2024-12-31</x:v>
      </x:c>
      <x:c r="D8" s="3" t="str">
        <x:v>Operating expense</x:v>
      </x:c>
      <x:c r="E8" s="6" t="n">
        <x:f>'計算底稿'!H6</x:f>
        <x:v>1918000</x:v>
      </x:c>
      <x:c r="F8" s="3" t="str">
        <x:v>USD  thousand</x:v>
      </x:c>
      <x:c r="G8" s="3" t="str">
        <x:v>原始報表數字</x:v>
      </x:c>
      <x:c r="H8" s="3" t="str">
        <x:v>Report1!D96, Report1!D94, Report1!D97</x:v>
      </x:c>
      <x:c r="I8" s="3" t="str">
        <x:v>毛利−營業利益（驗算）</x:v>
      </x:c>
      <x:c r="J8" s="3" t="str">
        <x:v>計算底稿!H6</x:v>
      </x:c>
      <x:c r="K8" s="3" t="str">
        <x:v>缺銷管、研發、減損等細分。</x:v>
      </x:c>
      <x:c r="L8" s="3" t="str">
        <x:v>/Users/yuntzuyu/Downloads/e-loan/Quarter/E-Loan YQYQ-Nexstar Q1.xls</x:v>
      </x:c>
    </x:row>
    <x:row r="9" ht="25" customHeight="1">
      <x:c r="A9" s="3" t="str">
        <x:v>NEXSTAR MEDIA GROUP, INC.</x:v>
      </x:c>
      <x:c r="B9" s="3" t="str">
        <x:v>2024-01-01~2024-12-31</x:v>
      </x:c>
      <x:c r="C9" s="3" t="str">
        <x:v>2024-12-31</x:v>
      </x:c>
      <x:c r="D9" s="3" t="str">
        <x:v>Interest expense</x:v>
      </x:c>
      <x:c r="E9" s="6" t="n">
        <x:f>'計算底稿'!I6</x:f>
        <x:v>444000</x:v>
      </x:c>
      <x:c r="F9" s="3" t="str">
        <x:v>USD  thousand</x:v>
      </x:c>
      <x:c r="G9" s="3" t="str">
        <x:v>原始報表數字</x:v>
      </x:c>
      <x:c r="H9" s="3" t="str">
        <x:v>Report1!D106</x:v>
      </x:c>
      <x:c r="I9" s="3" t="str">
        <x:v>直接取原報表第106列</x:v>
      </x:c>
      <x:c r="J9" s="3" t="str">
        <x:v>計算底稿!I6</x:v>
      </x:c>
      <x:c r="K9" s="3" t="str">
        <x:v>屬應計費用；不是現金付息，也不以期末債務×利率替代。</x:v>
      </x:c>
      <x:c r="L9" s="3" t="str">
        <x:v>/Users/yuntzuyu/Downloads/e-loan/Quarter/E-Loan YQYQ-Nexstar Q1.xls</x:v>
      </x:c>
    </x:row>
    <x:row r="10" ht="25" customHeight="1">
      <x:c r="A10" s="3" t="str">
        <x:v>NEXSTAR MEDIA GROUP, INC.</x:v>
      </x:c>
      <x:c r="B10" s="3" t="str">
        <x:v>2024-01-01~2024-12-31</x:v>
      </x:c>
      <x:c r="C10" s="3" t="str">
        <x:v>2024-12-31</x:v>
      </x:c>
      <x:c r="D10" s="3" t="str">
        <x:v>Quick ratio</x:v>
      </x:c>
      <x:c r="E10" s="7" t="n">
        <x:f>'計算底稿'!J6</x:f>
        <x:v>1.4968000000000001</x:v>
      </x:c>
      <x:c r="F10" s="3" t="str">
        <x:v>%</x:v>
      </x:c>
      <x:c r="G10" s="3" t="str">
        <x:v>原始報表數字</x:v>
      </x:c>
      <x:c r="H10" s="3" t="str">
        <x:v>Report1!D198, Report1!D11, Report1!D12, Report1!D13, Report1!D40</x:v>
      </x:c>
      <x:c r="I10" s="3" t="str">
        <x:v>(現金＋流動金融資產＋應收款項)÷流動負債</x:v>
      </x:c>
      <x:c r="J10" s="3" t="str">
        <x:v>計算底稿!J6</x:v>
      </x:c>
      <x:c r="K10" s="3" t="str">
        <x:v>原值為百分比；非直接以流動資產扣存貨。</x:v>
      </x:c>
      <x:c r="L10" s="3" t="str">
        <x:v>/Users/yuntzuyu/Downloads/e-loan/Quarter/E-Loan YQYQ-Nexstar Q1.xls</x:v>
      </x:c>
    </x:row>
    <x:row r="11" ht="25" customHeight="1">
      <x:c r="A11" s="3" t="str">
        <x:v>NEXSTAR MEDIA GROUP, INC.</x:v>
      </x:c>
      <x:c r="B11" s="3" t="str">
        <x:v>2024-01-01~2024-12-31</x:v>
      </x:c>
      <x:c r="C11" s="3" t="str">
        <x:v>2024-12-31</x:v>
      </x:c>
      <x:c r="D11" s="3" t="str">
        <x:v>Debt ratio</x:v>
      </x:c>
      <x:c r="E11" s="7" t="n">
        <x:f>'計算底稿'!K6</x:f>
        <x:v>4.0564</x:v>
      </x:c>
      <x:c r="F11" s="3" t="str">
        <x:v>%</x:v>
      </x:c>
      <x:c r="G11" s="3" t="str">
        <x:v>原始報表數字</x:v>
      </x:c>
      <x:c r="H11" s="3" t="str">
        <x:v>Report1!D203, Report1!D62, Report1!D70</x:v>
      </x:c>
      <x:c r="I11" s="3" t="str">
        <x:v>總負債÷淨值</x:v>
      </x:c>
      <x:c r="J11" s="3" t="str">
        <x:v>計算底稿!K6</x:v>
      </x:c>
      <x:c r="K11" s="3" t="str">
        <x:v>實際為負債淨值比；非負債資產比，亦非有息債務比。</x:v>
      </x:c>
      <x:c r="L11" s="3" t="str">
        <x:v>/Users/yuntzuyu/Downloads/e-loan/Quarter/E-Loan YQYQ-Nexstar Q1.xls</x:v>
      </x:c>
    </x:row>
    <x:row r="12" ht="25" customHeight="1">
      <x:c r="A12" s="3" t="str">
        <x:v>NEXSTAR MEDIA GROUP, INC.</x:v>
      </x:c>
      <x:c r="B12" s="3" t="str">
        <x:v>2024-01-01~2024-12-31</x:v>
      </x:c>
      <x:c r="C12" s="3" t="str">
        <x:v>2024-12-31</x:v>
      </x:c>
      <x:c r="D12" s="3" t="str">
        <x:v>Total debt</x:v>
      </x:c>
      <x:c r="E12" s="6" t="n">
        <x:f>'計算底稿'!L6</x:f>
        <x:v>6523000</x:v>
      </x:c>
      <x:c r="F12" s="3" t="str">
        <x:v>USD  thousand</x:v>
      </x:c>
      <x:c r="G12" s="3" t="str">
        <x:v>推算值／列示項目小計</x:v>
      </x:c>
      <x:c r="H12" s="3" t="str">
        <x:v>Report1!D41, Report1!D43, Report1!D55, Report1!D56</x:v>
      </x:c>
      <x:c r="I12" s="3" t="str">
        <x:v>短期借款＋一年內到期長債＋長期銀行借款＋公司債</x:v>
      </x:c>
      <x:c r="J12" s="3" t="str">
        <x:v>計算底稿!L6</x:v>
      </x:c>
      <x:c r="K12" s="3" t="str">
        <x:v>空白項未計入；租賃等未另加，非契約確認總債務。</x:v>
      </x:c>
      <x:c r="L12" s="3" t="str">
        <x:v>/Users/yuntzuyu/Downloads/e-loan/Quarter/E-Loan YQYQ-Nexstar Q1.xls</x:v>
      </x:c>
    </x:row>
    <x:row r="13" ht="25" customHeight="1">
      <x:c r="A13" s="3" t="str">
        <x:v>NEXSTAR MEDIA GROUP, INC.</x:v>
      </x:c>
      <x:c r="B13" s="3" t="str">
        <x:v>2024-01-01~2024-12-31</x:v>
      </x:c>
      <x:c r="C13" s="3" t="str">
        <x:v>2024-12-31</x:v>
      </x:c>
      <x:c r="D13" s="3" t="str">
        <x:v>EBITDA（報表口徑）</x:v>
      </x:c>
      <x:c r="E13" s="6" t="n">
        <x:f>'計算底稿'!M6</x:f>
        <x:v>2211000</x:v>
      </x:c>
      <x:c r="F13" s="3" t="str">
        <x:v>USD  thousand</x:v>
      </x:c>
      <x:c r="G13" s="3" t="str">
        <x:v>推算值</x:v>
      </x:c>
      <x:c r="H13" s="3" t="str">
        <x:v>Report1!D111, Report1!D106, Report1!D121, Report1!D201</x:v>
      </x:c>
      <x:c r="I13" s="3" t="str">
        <x:v>稅前損益＋利息費用＋折舊攤銷</x:v>
      </x:c>
      <x:c r="J13" s="3" t="str">
        <x:v>計算底稿!M6</x:v>
      </x:c>
      <x:c r="K13" s="3" t="str">
        <x:v>可重現原表EBITDA/Interest；含業外損益。</x:v>
      </x:c>
      <x:c r="L13" s="3" t="str">
        <x:v>/Users/yuntzuyu/Downloads/e-loan/Quarter/E-Loan YQYQ-Nexstar Q1.xls</x:v>
      </x:c>
    </x:row>
    <x:row r="14" ht="25" customHeight="1">
      <x:c r="A14" s="3" t="str">
        <x:v>NEXSTAR MEDIA GROUP, INC.</x:v>
      </x:c>
      <x:c r="B14" s="3" t="str">
        <x:v>2024-01-01~2024-12-31</x:v>
      </x:c>
      <x:c r="C14" s="3" t="str">
        <x:v>2024-12-31</x:v>
      </x:c>
      <x:c r="D14" s="3" t="str">
        <x:v>EBITDA basis</x:v>
      </x:c>
      <x:c r="E14" s="3" t="str">
        <x:v>稅前損益＋利息＋折舊攤銷</x:v>
      </x:c>
      <x:c r="F14" s="3" t="str">
        <x:v>文字</x:v>
      </x:c>
      <x:c r="G14" s="3" t="str">
        <x:v>口徑說明</x:v>
      </x:c>
      <x:c r="H14" s="3" t="str">
        <x:v>Report1!D111, Report1!D106, Report1!D121</x:v>
      </x:c>
      <x:c r="I14" s="3" t="str">
        <x:v>稅前損益＋利息費用＋折舊攤銷</x:v>
      </x:c>
      <x:c r="J14" s="3" t="str">
        <x:v>計算底稿!M6</x:v>
      </x:c>
      <x:c r="K14" s="3" t="str">
        <x:v>本列為文字定義；不代表Adjusted或契約EBITDA。</x:v>
      </x:c>
      <x:c r="L14" s="3" t="str">
        <x:v>/Users/yuntzuyu/Downloads/e-loan/Quarter/E-Loan YQYQ-Nexstar Q1.xls</x:v>
      </x:c>
    </x:row>
    <x:row r="15" ht="25" customHeight="1">
      <x:c r="A15" s="3" t="str">
        <x:v>NEXSTAR MEDIA GROUP, INC.</x:v>
      </x:c>
      <x:c r="B15" s="3" t="str">
        <x:v>2024-01-01~2024-12-31</x:v>
      </x:c>
      <x:c r="C15" s="3" t="str">
        <x:v>2024-12-31</x:v>
      </x:c>
      <x:c r="D15" s="3" t="str">
        <x:v>LTM EBITDA</x:v>
      </x:c>
      <x:c r="E15" s="6" t="n">
        <x:f>'計算底稿'!P6</x:f>
        <x:v>2211000</x:v>
      </x:c>
      <x:c r="F15" s="3" t="str">
        <x:v>USD  thousand</x:v>
      </x:c>
      <x:c r="G15" s="3" t="str">
        <x:v>推算值</x:v>
      </x:c>
      <x:c r="H15" s="3" t="str">
        <x:v>Report1!D111, Report1!D106, Report1!D121</x:v>
      </x:c>
      <x:c r="I15" s="3" t="str">
        <x:v>全年：當年EBITDA；期中：前全年＋本YTD−前YTD</x:v>
      </x:c>
      <x:c r="J15" s="3" t="str">
        <x:v>計算底稿!P6</x:v>
      </x:c>
      <x:c r="K15" s="3" t="str">
        <x:v>期中缺前同期則資料不足；不採YTD×2或×4。</x:v>
      </x:c>
      <x:c r="L15" s="3" t="str">
        <x:v>/Users/yuntzuyu/Downloads/e-loan/Quarter/E-Loan YQYQ-Nexstar Q1.xls</x:v>
      </x:c>
    </x:row>
    <x:row r="16" ht="25" customHeight="1">
      <x:c r="A16" s="3" t="str">
        <x:v>NEXSTAR MEDIA GROUP, INC.</x:v>
      </x:c>
      <x:c r="B16" s="3" t="str">
        <x:v>2024-01-01~2024-12-31</x:v>
      </x:c>
      <x:c r="C16" s="3" t="str">
        <x:v>2024-12-31</x:v>
      </x:c>
      <x:c r="D16" s="3" t="str">
        <x:v>Total leverage ratio</x:v>
      </x:c>
      <x:c r="E16" s="8" t="n">
        <x:f>'計算底稿'!Q6</x:f>
        <x:v>2.9502487562189055</x:v>
      </x:c>
      <x:c r="F16" s="3" t="str">
        <x:v>倍</x:v>
      </x:c>
      <x:c r="G16" s="3" t="str">
        <x:v>推算值／非契約倍數</x:v>
      </x:c>
      <x:c r="H16" s="3" t="str">
        <x:v>Report1!D41, Report1!D43, Report1!D55, Report1!D56, Report1!D111, Report1!D106, Report1!D121</x:v>
      </x:c>
      <x:c r="I16" s="3" t="str">
        <x:v>期末列示債務合計÷LTM EBITDA</x:v>
      </x:c>
      <x:c r="J16" s="3" t="str">
        <x:v>計算底稿!Q6</x:v>
      </x:c>
      <x:c r="K16" s="3" t="str">
        <x:v>未扣現金；不含未辨識租賃；EBITDA≤0時標示不具意義。</x:v>
      </x:c>
      <x:c r="L16" s="3" t="str">
        <x:v>/Users/yuntzuyu/Downloads/e-loan/Quarter/E-Loan YQYQ-Nexstar Q1.xls</x:v>
      </x:c>
    </x:row>
    <x:row r="17" ht="25" customHeight="1">
      <x:c r="A17" s="3" t="str">
        <x:v>NEXSTAR MEDIA GROUP, INC.</x:v>
      </x:c>
      <x:c r="B17" s="3" t="str">
        <x:v>2025-01-01~2025-03-31</x:v>
      </x:c>
      <x:c r="C17" s="3" t="str">
        <x:v>2025-03-31</x:v>
      </x:c>
      <x:c r="D17" s="3" t="str">
        <x:v>Cost of revenues</x:v>
      </x:c>
      <x:c r="E17" s="6" t="n">
        <x:f>'計算底稿'!F7</x:f>
        <x:v>551000</x:v>
      </x:c>
      <x:c r="F17" s="3" t="str">
        <x:v>USD  thousand</x:v>
      </x:c>
      <x:c r="G17" s="3" t="str">
        <x:v>原始報表數字</x:v>
      </x:c>
      <x:c r="H17" s="3" t="str">
        <x:v>Report1!I86</x:v>
      </x:c>
      <x:c r="I17" s="3" t="str">
        <x:v>營收−毛利（驗算）</x:v>
      </x:c>
      <x:c r="J17" s="3" t="str">
        <x:v>計算底稿!F7</x:v>
      </x:c>
      <x:c r="K17" s="3" t="str">
        <x:v>對應Operating Cost/COGS；缺成本細項。</x:v>
      </x:c>
      <x:c r="L17" s="3" t="str">
        <x:v>/Users/yuntzuyu/Downloads/e-loan/Quarter/E-Loan YQYQ-Nexstar Q1.xls</x:v>
      </x:c>
    </x:row>
    <x:row r="18" ht="25" customHeight="1">
      <x:c r="A18" s="3" t="str">
        <x:v>NEXSTAR MEDIA GROUP, INC.</x:v>
      </x:c>
      <x:c r="B18" s="3" t="str">
        <x:v>2025-01-01~2025-03-31</x:v>
      </x:c>
      <x:c r="C18" s="3" t="str">
        <x:v>2025-03-31</x:v>
      </x:c>
      <x:c r="D18" s="3" t="str">
        <x:v>Gross profit</x:v>
      </x:c>
      <x:c r="E18" s="6" t="n">
        <x:f>'計算底稿'!G7</x:f>
        <x:v>683000</x:v>
      </x:c>
      <x:c r="F18" s="3" t="str">
        <x:v>USD  thousand</x:v>
      </x:c>
      <x:c r="G18" s="3" t="str">
        <x:v>原始報表數字</x:v>
      </x:c>
      <x:c r="H18" s="3" t="str">
        <x:v>Report1!I94, Report1!I80, Report1!I86</x:v>
      </x:c>
      <x:c r="I18" s="3" t="str">
        <x:v>營收−營收成本</x:v>
      </x:c>
      <x:c r="J18" s="3" t="str">
        <x:v>計算底稿!G7</x:v>
      </x:c>
      <x:c r="K18" s="3" t="str">
        <x:v>原值與驗算一致。</x:v>
      </x:c>
      <x:c r="L18" s="3" t="str">
        <x:v>/Users/yuntzuyu/Downloads/e-loan/Quarter/E-Loan YQYQ-Nexstar Q1.xls</x:v>
      </x:c>
    </x:row>
    <x:row r="19" ht="25" customHeight="1">
      <x:c r="A19" s="3" t="str">
        <x:v>NEXSTAR MEDIA GROUP, INC.</x:v>
      </x:c>
      <x:c r="B19" s="3" t="str">
        <x:v>2025-01-01~2025-03-31</x:v>
      </x:c>
      <x:c r="C19" s="3" t="str">
        <x:v>2025-03-31</x:v>
      </x:c>
      <x:c r="D19" s="3" t="str">
        <x:v>Operating expense</x:v>
      </x:c>
      <x:c r="E19" s="6" t="n">
        <x:f>'計算底稿'!H7</x:f>
        <x:v>463000</x:v>
      </x:c>
      <x:c r="F19" s="3" t="str">
        <x:v>USD  thousand</x:v>
      </x:c>
      <x:c r="G19" s="3" t="str">
        <x:v>原始報表數字</x:v>
      </x:c>
      <x:c r="H19" s="3" t="str">
        <x:v>Report1!I96, Report1!I94, Report1!I97</x:v>
      </x:c>
      <x:c r="I19" s="3" t="str">
        <x:v>毛利−營業利益（驗算）</x:v>
      </x:c>
      <x:c r="J19" s="3" t="str">
        <x:v>計算底稿!H7</x:v>
      </x:c>
      <x:c r="K19" s="3" t="str">
        <x:v>缺銷管、研發、減損等細分。</x:v>
      </x:c>
      <x:c r="L19" s="3" t="str">
        <x:v>/Users/yuntzuyu/Downloads/e-loan/Quarter/E-Loan YQYQ-Nexstar Q1.xls</x:v>
      </x:c>
    </x:row>
    <x:row r="20" ht="25" customHeight="1">
      <x:c r="A20" s="3" t="str">
        <x:v>NEXSTAR MEDIA GROUP, INC.</x:v>
      </x:c>
      <x:c r="B20" s="3" t="str">
        <x:v>2025-01-01~2025-03-31</x:v>
      </x:c>
      <x:c r="C20" s="3" t="str">
        <x:v>2025-03-31</x:v>
      </x:c>
      <x:c r="D20" s="3" t="str">
        <x:v>Interest expense</x:v>
      </x:c>
      <x:c r="E20" s="6" t="n">
        <x:f>'計算底稿'!I7</x:f>
        <x:v>97000</x:v>
      </x:c>
      <x:c r="F20" s="3" t="str">
        <x:v>USD  thousand</x:v>
      </x:c>
      <x:c r="G20" s="3" t="str">
        <x:v>原始報表數字</x:v>
      </x:c>
      <x:c r="H20" s="3" t="str">
        <x:v>Report1!I106</x:v>
      </x:c>
      <x:c r="I20" s="3" t="str">
        <x:v>直接取原報表第106列</x:v>
      </x:c>
      <x:c r="J20" s="3" t="str">
        <x:v>計算底稿!I7</x:v>
      </x:c>
      <x:c r="K20" s="3" t="str">
        <x:v>屬應計費用；不是現金付息，也不以期末債務×利率替代。</x:v>
      </x:c>
      <x:c r="L20" s="3" t="str">
        <x:v>/Users/yuntzuyu/Downloads/e-loan/Quarter/E-Loan YQYQ-Nexstar Q1.xls</x:v>
      </x:c>
    </x:row>
    <x:row r="21" ht="25" customHeight="1">
      <x:c r="A21" s="3" t="str">
        <x:v>NEXSTAR MEDIA GROUP, INC.</x:v>
      </x:c>
      <x:c r="B21" s="3" t="str">
        <x:v>2025-01-01~2025-03-31</x:v>
      </x:c>
      <x:c r="C21" s="3" t="str">
        <x:v>2025-03-31</x:v>
      </x:c>
      <x:c r="D21" s="3" t="str">
        <x:v>Quick ratio</x:v>
      </x:c>
      <x:c r="E21" s="7" t="n">
        <x:f>'計算底稿'!J7</x:f>
        <x:v>1.5937999999999999</x:v>
      </x:c>
      <x:c r="F21" s="3" t="str">
        <x:v>%</x:v>
      </x:c>
      <x:c r="G21" s="3" t="str">
        <x:v>原始報表數字</x:v>
      </x:c>
      <x:c r="H21" s="3" t="str">
        <x:v>Report1!I198, Report1!I11, Report1!I12, Report1!I13, Report1!I40</x:v>
      </x:c>
      <x:c r="I21" s="3" t="str">
        <x:v>(現金＋流動金融資產＋應收款項)÷流動負債</x:v>
      </x:c>
      <x:c r="J21" s="3" t="str">
        <x:v>計算底稿!J7</x:v>
      </x:c>
      <x:c r="K21" s="3" t="str">
        <x:v>原值為百分比；非直接以流動資產扣存貨。</x:v>
      </x:c>
      <x:c r="L21" s="3" t="str">
        <x:v>/Users/yuntzuyu/Downloads/e-loan/Quarter/E-Loan YQYQ-Nexstar Q1.xls</x:v>
      </x:c>
    </x:row>
    <x:row r="22" ht="25" customHeight="1">
      <x:c r="A22" s="3" t="str">
        <x:v>NEXSTAR MEDIA GROUP, INC.</x:v>
      </x:c>
      <x:c r="B22" s="3" t="str">
        <x:v>2025-01-01~2025-03-31</x:v>
      </x:c>
      <x:c r="C22" s="3" t="str">
        <x:v>2025-03-31</x:v>
      </x:c>
      <x:c r="D22" s="3" t="str">
        <x:v>Debt ratio</x:v>
      </x:c>
      <x:c r="E22" s="7" t="n">
        <x:f>'計算底稿'!K7</x:f>
        <x:v>4.072900000000001</x:v>
      </x:c>
      <x:c r="F22" s="3" t="str">
        <x:v>%</x:v>
      </x:c>
      <x:c r="G22" s="3" t="str">
        <x:v>原始報表數字</x:v>
      </x:c>
      <x:c r="H22" s="3" t="str">
        <x:v>Report1!I203, Report1!I62, Report1!I70</x:v>
      </x:c>
      <x:c r="I22" s="3" t="str">
        <x:v>總負債÷淨值</x:v>
      </x:c>
      <x:c r="J22" s="3" t="str">
        <x:v>計算底稿!K7</x:v>
      </x:c>
      <x:c r="K22" s="3" t="str">
        <x:v>實際為負債淨值比；非負債資產比，亦非有息債務比。</x:v>
      </x:c>
      <x:c r="L22" s="3" t="str">
        <x:v>/Users/yuntzuyu/Downloads/e-loan/Quarter/E-Loan YQYQ-Nexstar Q1.xls</x:v>
      </x:c>
    </x:row>
    <x:row r="23" ht="25" customHeight="1">
      <x:c r="A23" s="3" t="str">
        <x:v>NEXSTAR MEDIA GROUP, INC.</x:v>
      </x:c>
      <x:c r="B23" s="3" t="str">
        <x:v>2025-01-01~2025-03-31</x:v>
      </x:c>
      <x:c r="C23" s="3" t="str">
        <x:v>2025-03-31</x:v>
      </x:c>
      <x:c r="D23" s="3" t="str">
        <x:v>Total debt</x:v>
      </x:c>
      <x:c r="E23" s="6" t="n">
        <x:f>'計算底稿'!L7</x:f>
        <x:v>6495000</x:v>
      </x:c>
      <x:c r="F23" s="3" t="str">
        <x:v>USD  thousand</x:v>
      </x:c>
      <x:c r="G23" s="3" t="str">
        <x:v>推算值／列示項目小計</x:v>
      </x:c>
      <x:c r="H23" s="3" t="str">
        <x:v>Report1!I41, Report1!I43, Report1!I55, Report1!I56</x:v>
      </x:c>
      <x:c r="I23" s="3" t="str">
        <x:v>短期借款＋一年內到期長債＋長期銀行借款＋公司債</x:v>
      </x:c>
      <x:c r="J23" s="3" t="str">
        <x:v>計算底稿!L7</x:v>
      </x:c>
      <x:c r="K23" s="3" t="str">
        <x:v>空白項未計入；租賃等未另加，非契約確認總債務。</x:v>
      </x:c>
      <x:c r="L23" s="3" t="str">
        <x:v>/Users/yuntzuyu/Downloads/e-loan/Quarter/E-Loan YQYQ-Nexstar Q1.xls</x:v>
      </x:c>
    </x:row>
    <x:row r="24" ht="25" customHeight="1">
      <x:c r="A24" s="3" t="str">
        <x:v>NEXSTAR MEDIA GROUP, INC.</x:v>
      </x:c>
      <x:c r="B24" s="3" t="str">
        <x:v>2025-01-01~2025-03-31</x:v>
      </x:c>
      <x:c r="C24" s="3" t="str">
        <x:v>2025-03-31</x:v>
      </x:c>
      <x:c r="D24" s="3" t="str">
        <x:v>EBITDA（報表口徑）</x:v>
      </x:c>
      <x:c r="E24" s="6" t="n">
        <x:f>'計算底稿'!M7</x:f>
        <x:v>440000</x:v>
      </x:c>
      <x:c r="F24" s="3" t="str">
        <x:v>USD  thousand</x:v>
      </x:c>
      <x:c r="G24" s="3" t="str">
        <x:v>推算值</x:v>
      </x:c>
      <x:c r="H24" s="3" t="str">
        <x:v>Report1!I111, Report1!I106, Report1!I121, Report1!I201</x:v>
      </x:c>
      <x:c r="I24" s="3" t="str">
        <x:v>稅前損益＋利息費用＋折舊攤銷</x:v>
      </x:c>
      <x:c r="J24" s="3" t="str">
        <x:v>計算底稿!M7</x:v>
      </x:c>
      <x:c r="K24" s="3" t="str">
        <x:v>可重現原表EBITDA/Interest；含業外損益。</x:v>
      </x:c>
      <x:c r="L24" s="3" t="str">
        <x:v>/Users/yuntzuyu/Downloads/e-loan/Quarter/E-Loan YQYQ-Nexstar Q1.xls</x:v>
      </x:c>
    </x:row>
    <x:row r="25" ht="25" customHeight="1">
      <x:c r="A25" s="3" t="str">
        <x:v>NEXSTAR MEDIA GROUP, INC.</x:v>
      </x:c>
      <x:c r="B25" s="3" t="str">
        <x:v>2025-01-01~2025-03-31</x:v>
      </x:c>
      <x:c r="C25" s="3" t="str">
        <x:v>2025-03-31</x:v>
      </x:c>
      <x:c r="D25" s="3" t="str">
        <x:v>EBITDA basis</x:v>
      </x:c>
      <x:c r="E25" s="3" t="str">
        <x:v>稅前損益＋利息＋折舊攤銷</x:v>
      </x:c>
      <x:c r="F25" s="3" t="str">
        <x:v>文字</x:v>
      </x:c>
      <x:c r="G25" s="3" t="str">
        <x:v>口徑說明</x:v>
      </x:c>
      <x:c r="H25" s="3" t="str">
        <x:v>Report1!I111, Report1!I106, Report1!I121</x:v>
      </x:c>
      <x:c r="I25" s="3" t="str">
        <x:v>稅前損益＋利息費用＋折舊攤銷</x:v>
      </x:c>
      <x:c r="J25" s="3" t="str">
        <x:v>計算底稿!M7</x:v>
      </x:c>
      <x:c r="K25" s="3" t="str">
        <x:v>本列為文字定義；不代表Adjusted或契約EBITDA。</x:v>
      </x:c>
      <x:c r="L25" s="3" t="str">
        <x:v>/Users/yuntzuyu/Downloads/e-loan/Quarter/E-Loan YQYQ-Nexstar Q1.xls</x:v>
      </x:c>
    </x:row>
    <x:row r="26" ht="25" customHeight="1">
      <x:c r="A26" s="3" t="str">
        <x:v>NEXSTAR MEDIA GROUP, INC.</x:v>
      </x:c>
      <x:c r="B26" s="3" t="str">
        <x:v>2025-01-01~2025-03-31</x:v>
      </x:c>
      <x:c r="C26" s="3" t="str">
        <x:v>2025-03-31</x:v>
      </x:c>
      <x:c r="D26" s="3" t="str">
        <x:v>LTM EBITDA</x:v>
      </x:c>
      <x:c r="E26" s="6" t="str">
        <x:f>'計算底稿'!P7</x:f>
        <x:v>資料不足</x:v>
      </x:c>
      <x:c r="F26" s="3" t="str">
        <x:v>USD  thousand</x:v>
      </x:c>
      <x:c r="G26" s="3" t="str">
        <x:v>推算值</x:v>
      </x:c>
      <x:c r="H26" s="3" t="str">
        <x:v>Report1!I111, Report1!I106, Report1!I121</x:v>
      </x:c>
      <x:c r="I26" s="3" t="str">
        <x:v>全年：當年EBITDA；期中：前全年＋本YTD−前YTD</x:v>
      </x:c>
      <x:c r="J26" s="3" t="str">
        <x:v>計算底稿!P7</x:v>
      </x:c>
      <x:c r="K26" s="3" t="str">
        <x:v>期中缺前同期則資料不足；不採YTD×2或×4。</x:v>
      </x:c>
      <x:c r="L26" s="3" t="str">
        <x:v>/Users/yuntzuyu/Downloads/e-loan/Quarter/E-Loan YQYQ-Nexstar Q1.xls</x:v>
      </x:c>
    </x:row>
    <x:row r="27" ht="25" customHeight="1">
      <x:c r="A27" s="3" t="str">
        <x:v>NEXSTAR MEDIA GROUP, INC.</x:v>
      </x:c>
      <x:c r="B27" s="3" t="str">
        <x:v>2025-01-01~2025-03-31</x:v>
      </x:c>
      <x:c r="C27" s="3" t="str">
        <x:v>2025-03-31</x:v>
      </x:c>
      <x:c r="D27" s="3" t="str">
        <x:v>Total leverage ratio</x:v>
      </x:c>
      <x:c r="E27" s="8" t="str">
        <x:f>'計算底稿'!Q7</x:f>
        <x:v>資料不足</x:v>
      </x:c>
      <x:c r="F27" s="3" t="str">
        <x:v>倍</x:v>
      </x:c>
      <x:c r="G27" s="3" t="str">
        <x:v>推算值／非契約倍數</x:v>
      </x:c>
      <x:c r="H27" s="3" t="str">
        <x:v>Report1!I41, Report1!I43, Report1!I55, Report1!I56, Report1!I111, Report1!I106, Report1!I121</x:v>
      </x:c>
      <x:c r="I27" s="3" t="str">
        <x:v>期末列示債務合計÷LTM EBITDA</x:v>
      </x:c>
      <x:c r="J27" s="3" t="str">
        <x:v>計算底稿!Q7</x:v>
      </x:c>
      <x:c r="K27" s="3" t="str">
        <x:v>未扣現金；不含未辨識租賃；EBITDA≤0時標示不具意義。</x:v>
      </x:c>
      <x:c r="L27" s="3" t="str">
        <x:v>/Users/yuntzuyu/Downloads/e-loan/Quarter/E-Loan YQYQ-Nexstar Q1.xls</x:v>
      </x:c>
    </x:row>
    <x:row r="28" ht="25" customHeight="1">
      <x:c r="A28" s="3" t="str">
        <x:v>NEXSTAR MEDIA GROUP, INC.</x:v>
      </x:c>
      <x:c r="B28" s="3" t="str">
        <x:v>2025-01-01~2025-12-31</x:v>
      </x:c>
      <x:c r="C28" s="3" t="str">
        <x:v>2025-12-31</x:v>
      </x:c>
      <x:c r="D28" s="3" t="str">
        <x:v>Cost of revenues</x:v>
      </x:c>
      <x:c r="E28" s="6" t="n">
        <x:f>'計算底稿'!F8</x:f>
        <x:v>2235000</x:v>
      </x:c>
      <x:c r="F28" s="3" t="str">
        <x:v>USD  thousand</x:v>
      </x:c>
      <x:c r="G28" s="3" t="str">
        <x:v>原始報表數字</x:v>
      </x:c>
      <x:c r="H28" s="3" t="str">
        <x:v>Report1!M86</x:v>
      </x:c>
      <x:c r="I28" s="3" t="str">
        <x:v>營收−毛利（驗算）</x:v>
      </x:c>
      <x:c r="J28" s="3" t="str">
        <x:v>計算底稿!F8</x:v>
      </x:c>
      <x:c r="K28" s="3" t="str">
        <x:v>對應Operating Cost/COGS；缺成本細項。</x:v>
      </x:c>
      <x:c r="L28" s="3" t="str">
        <x:v>/Users/yuntzuyu/Downloads/e-loan/Quarter/E-Loan YQYQ-Nexstar Q1.xls</x:v>
      </x:c>
    </x:row>
    <x:row r="29" ht="25" customHeight="1">
      <x:c r="A29" s="3" t="str">
        <x:v>NEXSTAR MEDIA GROUP, INC.</x:v>
      </x:c>
      <x:c r="B29" s="3" t="str">
        <x:v>2025-01-01~2025-12-31</x:v>
      </x:c>
      <x:c r="C29" s="3" t="str">
        <x:v>2025-12-31</x:v>
      </x:c>
      <x:c r="D29" s="3" t="str">
        <x:v>Gross profit</x:v>
      </x:c>
      <x:c r="E29" s="6" t="n">
        <x:f>'計算底稿'!G8</x:f>
        <x:v>2714000</x:v>
      </x:c>
      <x:c r="F29" s="3" t="str">
        <x:v>USD  thousand</x:v>
      </x:c>
      <x:c r="G29" s="3" t="str">
        <x:v>原始報表數字</x:v>
      </x:c>
      <x:c r="H29" s="3" t="str">
        <x:v>Report1!M94, Report1!M80, Report1!M86</x:v>
      </x:c>
      <x:c r="I29" s="3" t="str">
        <x:v>營收−營收成本</x:v>
      </x:c>
      <x:c r="J29" s="3" t="str">
        <x:v>計算底稿!G8</x:v>
      </x:c>
      <x:c r="K29" s="3" t="str">
        <x:v>原值與驗算一致。</x:v>
      </x:c>
      <x:c r="L29" s="3" t="str">
        <x:v>/Users/yuntzuyu/Downloads/e-loan/Quarter/E-Loan YQYQ-Nexstar Q1.xls</x:v>
      </x:c>
    </x:row>
    <x:row r="30" ht="25" customHeight="1">
      <x:c r="A30" s="3" t="str">
        <x:v>NEXSTAR MEDIA GROUP, INC.</x:v>
      </x:c>
      <x:c r="B30" s="3" t="str">
        <x:v>2025-01-01~2025-12-31</x:v>
      </x:c>
      <x:c r="C30" s="3" t="str">
        <x:v>2025-12-31</x:v>
      </x:c>
      <x:c r="D30" s="3" t="str">
        <x:v>Operating expense</x:v>
      </x:c>
      <x:c r="E30" s="6" t="n">
        <x:f>'計算底稿'!H8</x:f>
        <x:v>1865000</x:v>
      </x:c>
      <x:c r="F30" s="3" t="str">
        <x:v>USD  thousand</x:v>
      </x:c>
      <x:c r="G30" s="3" t="str">
        <x:v>原始報表數字</x:v>
      </x:c>
      <x:c r="H30" s="3" t="str">
        <x:v>Report1!M96, Report1!M94, Report1!M97</x:v>
      </x:c>
      <x:c r="I30" s="3" t="str">
        <x:v>毛利−營業利益（驗算）</x:v>
      </x:c>
      <x:c r="J30" s="3" t="str">
        <x:v>計算底稿!H8</x:v>
      </x:c>
      <x:c r="K30" s="3" t="str">
        <x:v>缺銷管、研發、減損等細分。</x:v>
      </x:c>
      <x:c r="L30" s="3" t="str">
        <x:v>/Users/yuntzuyu/Downloads/e-loan/Quarter/E-Loan YQYQ-Nexstar Q1.xls</x:v>
      </x:c>
    </x:row>
    <x:row r="31" ht="25" customHeight="1">
      <x:c r="A31" s="3" t="str">
        <x:v>NEXSTAR MEDIA GROUP, INC.</x:v>
      </x:c>
      <x:c r="B31" s="3" t="str">
        <x:v>2025-01-01~2025-12-31</x:v>
      </x:c>
      <x:c r="C31" s="3" t="str">
        <x:v>2025-12-31</x:v>
      </x:c>
      <x:c r="D31" s="3" t="str">
        <x:v>Interest expense</x:v>
      </x:c>
      <x:c r="E31" s="6" t="n">
        <x:f>'計算底稿'!I8</x:f>
        <x:v>379000</x:v>
      </x:c>
      <x:c r="F31" s="3" t="str">
        <x:v>USD  thousand</x:v>
      </x:c>
      <x:c r="G31" s="3" t="str">
        <x:v>原始報表數字</x:v>
      </x:c>
      <x:c r="H31" s="3" t="str">
        <x:v>Report1!M106</x:v>
      </x:c>
      <x:c r="I31" s="3" t="str">
        <x:v>直接取原報表第106列</x:v>
      </x:c>
      <x:c r="J31" s="3" t="str">
        <x:v>計算底稿!I8</x:v>
      </x:c>
      <x:c r="K31" s="3" t="str">
        <x:v>屬應計費用；不是現金付息，也不以期末債務×利率替代。</x:v>
      </x:c>
      <x:c r="L31" s="3" t="str">
        <x:v>/Users/yuntzuyu/Downloads/e-loan/Quarter/E-Loan YQYQ-Nexstar Q1.xls</x:v>
      </x:c>
    </x:row>
    <x:row r="32" ht="25" customHeight="1">
      <x:c r="A32" s="3" t="str">
        <x:v>NEXSTAR MEDIA GROUP, INC.</x:v>
      </x:c>
      <x:c r="B32" s="3" t="str">
        <x:v>2025-01-01~2025-12-31</x:v>
      </x:c>
      <x:c r="C32" s="3" t="str">
        <x:v>2025-12-31</x:v>
      </x:c>
      <x:c r="D32" s="3" t="str">
        <x:v>Quick ratio</x:v>
      </x:c>
      <x:c r="E32" s="7" t="n">
        <x:f>'計算底稿'!J8</x:f>
        <x:v>1.9058000000000002</x:v>
      </x:c>
      <x:c r="F32" s="3" t="str">
        <x:v>%</x:v>
      </x:c>
      <x:c r="G32" s="3" t="str">
        <x:v>原始報表數字</x:v>
      </x:c>
      <x:c r="H32" s="3" t="str">
        <x:v>Report1!M198, Report1!M11, Report1!M12, Report1!M13, Report1!M40</x:v>
      </x:c>
      <x:c r="I32" s="3" t="str">
        <x:v>(現金＋流動金融資產＋應收款項)÷流動負債</x:v>
      </x:c>
      <x:c r="J32" s="3" t="str">
        <x:v>計算底稿!J8</x:v>
      </x:c>
      <x:c r="K32" s="3" t="str">
        <x:v>原值為百分比；非直接以流動資產扣存貨。</x:v>
      </x:c>
      <x:c r="L32" s="3" t="str">
        <x:v>/Users/yuntzuyu/Downloads/e-loan/Quarter/E-Loan YQYQ-Nexstar Q1.xls</x:v>
      </x:c>
    </x:row>
    <x:row r="33" ht="25" customHeight="1">
      <x:c r="A33" s="3" t="str">
        <x:v>NEXSTAR MEDIA GROUP, INC.</x:v>
      </x:c>
      <x:c r="B33" s="3" t="str">
        <x:v>2025-01-01~2025-12-31</x:v>
      </x:c>
      <x:c r="C33" s="3" t="str">
        <x:v>2025-12-31</x:v>
      </x:c>
      <x:c r="D33" s="3" t="str">
        <x:v>Debt ratio</x:v>
      </x:c>
      <x:c r="E33" s="7" t="n">
        <x:f>'計算底稿'!K8</x:f>
        <x:v>4.2599</x:v>
      </x:c>
      <x:c r="F33" s="3" t="str">
        <x:v>%</x:v>
      </x:c>
      <x:c r="G33" s="3" t="str">
        <x:v>原始報表數字</x:v>
      </x:c>
      <x:c r="H33" s="3" t="str">
        <x:v>Report1!M203, Report1!M62, Report1!M70</x:v>
      </x:c>
      <x:c r="I33" s="3" t="str">
        <x:v>總負債÷淨值</x:v>
      </x:c>
      <x:c r="J33" s="3" t="str">
        <x:v>計算底稿!K8</x:v>
      </x:c>
      <x:c r="K33" s="3" t="str">
        <x:v>實際為負債淨值比；非負債資產比，亦非有息債務比。</x:v>
      </x:c>
      <x:c r="L33" s="3" t="str">
        <x:v>/Users/yuntzuyu/Downloads/e-loan/Quarter/E-Loan YQYQ-Nexstar Q1.xls</x:v>
      </x:c>
    </x:row>
    <x:row r="34" ht="25" customHeight="1">
      <x:c r="A34" s="3" t="str">
        <x:v>NEXSTAR MEDIA GROUP, INC.</x:v>
      </x:c>
      <x:c r="B34" s="3" t="str">
        <x:v>2025-01-01~2025-12-31</x:v>
      </x:c>
      <x:c r="C34" s="3" t="str">
        <x:v>2025-12-31</x:v>
      </x:c>
      <x:c r="D34" s="3" t="str">
        <x:v>Total debt</x:v>
      </x:c>
      <x:c r="E34" s="6" t="n">
        <x:f>'計算底稿'!L8</x:f>
        <x:v>6333000</x:v>
      </x:c>
      <x:c r="F34" s="3" t="str">
        <x:v>USD  thousand</x:v>
      </x:c>
      <x:c r="G34" s="3" t="str">
        <x:v>推算值／列示項目小計</x:v>
      </x:c>
      <x:c r="H34" s="3" t="str">
        <x:v>Report1!M41, Report1!M43, Report1!M55, Report1!M56</x:v>
      </x:c>
      <x:c r="I34" s="3" t="str">
        <x:v>短期借款＋一年內到期長債＋長期銀行借款＋公司債</x:v>
      </x:c>
      <x:c r="J34" s="3" t="str">
        <x:v>計算底稿!L8</x:v>
      </x:c>
      <x:c r="K34" s="3" t="str">
        <x:v>空白項未計入；租賃等未另加，非契約確認總債務。</x:v>
      </x:c>
      <x:c r="L34" s="3" t="str">
        <x:v>/Users/yuntzuyu/Downloads/e-loan/Quarter/E-Loan YQYQ-Nexstar Q1.xls</x:v>
      </x:c>
    </x:row>
    <x:row r="35" ht="25" customHeight="1">
      <x:c r="A35" s="3" t="str">
        <x:v>NEXSTAR MEDIA GROUP, INC.</x:v>
      </x:c>
      <x:c r="B35" s="3" t="str">
        <x:v>2025-01-01~2025-12-31</x:v>
      </x:c>
      <x:c r="C35" s="3" t="str">
        <x:v>2025-12-31</x:v>
      </x:c>
      <x:c r="D35" s="3" t="str">
        <x:v>EBITDA（報表口徑）</x:v>
      </x:c>
      <x:c r="E35" s="6" t="n">
        <x:f>'計算底稿'!M8</x:f>
        <x:v>1314000</x:v>
      </x:c>
      <x:c r="F35" s="3" t="str">
        <x:v>USD  thousand</x:v>
      </x:c>
      <x:c r="G35" s="3" t="str">
        <x:v>推算值</x:v>
      </x:c>
      <x:c r="H35" s="3" t="str">
        <x:v>Report1!M111, Report1!M106, Report1!M121, Report1!M201</x:v>
      </x:c>
      <x:c r="I35" s="3" t="str">
        <x:v>稅前損益＋利息費用＋折舊攤銷</x:v>
      </x:c>
      <x:c r="J35" s="3" t="str">
        <x:v>計算底稿!M8</x:v>
      </x:c>
      <x:c r="K35" s="3" t="str">
        <x:v>可重現原表EBITDA/Interest；含業外損益。</x:v>
      </x:c>
      <x:c r="L35" s="3" t="str">
        <x:v>/Users/yuntzuyu/Downloads/e-loan/Quarter/E-Loan YQYQ-Nexstar Q1.xls</x:v>
      </x:c>
    </x:row>
    <x:row r="36" ht="25" customHeight="1">
      <x:c r="A36" s="3" t="str">
        <x:v>NEXSTAR MEDIA GROUP, INC.</x:v>
      </x:c>
      <x:c r="B36" s="3" t="str">
        <x:v>2025-01-01~2025-12-31</x:v>
      </x:c>
      <x:c r="C36" s="3" t="str">
        <x:v>2025-12-31</x:v>
      </x:c>
      <x:c r="D36" s="3" t="str">
        <x:v>EBITDA basis</x:v>
      </x:c>
      <x:c r="E36" s="3" t="str">
        <x:v>稅前損益＋利息＋折舊攤銷</x:v>
      </x:c>
      <x:c r="F36" s="3" t="str">
        <x:v>文字</x:v>
      </x:c>
      <x:c r="G36" s="3" t="str">
        <x:v>口徑說明</x:v>
      </x:c>
      <x:c r="H36" s="3" t="str">
        <x:v>Report1!M111, Report1!M106, Report1!M121</x:v>
      </x:c>
      <x:c r="I36" s="3" t="str">
        <x:v>稅前損益＋利息費用＋折舊攤銷</x:v>
      </x:c>
      <x:c r="J36" s="3" t="str">
        <x:v>計算底稿!M8</x:v>
      </x:c>
      <x:c r="K36" s="3" t="str">
        <x:v>本列為文字定義；不代表Adjusted或契約EBITDA。</x:v>
      </x:c>
      <x:c r="L36" s="3" t="str">
        <x:v>/Users/yuntzuyu/Downloads/e-loan/Quarter/E-Loan YQYQ-Nexstar Q1.xls</x:v>
      </x:c>
    </x:row>
    <x:row r="37" ht="25" customHeight="1">
      <x:c r="A37" s="3" t="str">
        <x:v>NEXSTAR MEDIA GROUP, INC.</x:v>
      </x:c>
      <x:c r="B37" s="3" t="str">
        <x:v>2025-01-01~2025-12-31</x:v>
      </x:c>
      <x:c r="C37" s="3" t="str">
        <x:v>2025-12-31</x:v>
      </x:c>
      <x:c r="D37" s="3" t="str">
        <x:v>LTM EBITDA</x:v>
      </x:c>
      <x:c r="E37" s="6" t="n">
        <x:f>'計算底稿'!P8</x:f>
        <x:v>1314000</x:v>
      </x:c>
      <x:c r="F37" s="3" t="str">
        <x:v>USD  thousand</x:v>
      </x:c>
      <x:c r="G37" s="3" t="str">
        <x:v>推算值</x:v>
      </x:c>
      <x:c r="H37" s="3" t="str">
        <x:v>Report1!M111, Report1!M106, Report1!M121</x:v>
      </x:c>
      <x:c r="I37" s="3" t="str">
        <x:v>全年：當年EBITDA；期中：前全年＋本YTD−前YTD</x:v>
      </x:c>
      <x:c r="J37" s="3" t="str">
        <x:v>計算底稿!P8</x:v>
      </x:c>
      <x:c r="K37" s="3" t="str">
        <x:v>期中缺前同期則資料不足；不採YTD×2或×4。</x:v>
      </x:c>
      <x:c r="L37" s="3" t="str">
        <x:v>/Users/yuntzuyu/Downloads/e-loan/Quarter/E-Loan YQYQ-Nexstar Q1.xls</x:v>
      </x:c>
    </x:row>
    <x:row r="38" ht="25" customHeight="1">
      <x:c r="A38" s="3" t="str">
        <x:v>NEXSTAR MEDIA GROUP, INC.</x:v>
      </x:c>
      <x:c r="B38" s="3" t="str">
        <x:v>2025-01-01~2025-12-31</x:v>
      </x:c>
      <x:c r="C38" s="3" t="str">
        <x:v>2025-12-31</x:v>
      </x:c>
      <x:c r="D38" s="3" t="str">
        <x:v>Total leverage ratio</x:v>
      </x:c>
      <x:c r="E38" s="8" t="n">
        <x:f>'計算底稿'!Q8</x:f>
        <x:v>4.819634703196347</x:v>
      </x:c>
      <x:c r="F38" s="3" t="str">
        <x:v>倍</x:v>
      </x:c>
      <x:c r="G38" s="3" t="str">
        <x:v>推算值／非契約倍數</x:v>
      </x:c>
      <x:c r="H38" s="3" t="str">
        <x:v>Report1!M41, Report1!M43, Report1!M55, Report1!M56, Report1!M111, Report1!M106, Report1!M121</x:v>
      </x:c>
      <x:c r="I38" s="3" t="str">
        <x:v>期末列示債務合計÷LTM EBITDA</x:v>
      </x:c>
      <x:c r="J38" s="3" t="str">
        <x:v>計算底稿!Q8</x:v>
      </x:c>
      <x:c r="K38" s="3" t="str">
        <x:v>未扣現金；不含未辨識租賃；EBITDA≤0時標示不具意義。</x:v>
      </x:c>
      <x:c r="L38" s="3" t="str">
        <x:v>/Users/yuntzuyu/Downloads/e-loan/Quarter/E-Loan YQYQ-Nexstar Q1.xls</x:v>
      </x:c>
    </x:row>
    <x:row r="39" ht="25" customHeight="1">
      <x:c r="A39" s="3" t="str">
        <x:v>NEXSTAR MEDIA GROUP, INC.</x:v>
      </x:c>
      <x:c r="B39" s="3" t="str">
        <x:v>2026-01-01~2026-03-31</x:v>
      </x:c>
      <x:c r="C39" s="3" t="str">
        <x:v>2026-03-31</x:v>
      </x:c>
      <x:c r="D39" s="3" t="str">
        <x:v>Cost of revenues</x:v>
      </x:c>
      <x:c r="E39" s="6" t="n">
        <x:f>'計算底稿'!F9</x:f>
        <x:v>611000</x:v>
      </x:c>
      <x:c r="F39" s="3" t="str">
        <x:v>USD  thousand</x:v>
      </x:c>
      <x:c r="G39" s="3" t="str">
        <x:v>原始報表數字</x:v>
      </x:c>
      <x:c r="H39" s="3" t="str">
        <x:v>Report1!R86</x:v>
      </x:c>
      <x:c r="I39" s="3" t="str">
        <x:v>營收−毛利（驗算）</x:v>
      </x:c>
      <x:c r="J39" s="3" t="str">
        <x:v>計算底稿!F9</x:v>
      </x:c>
      <x:c r="K39" s="3" t="str">
        <x:v>對應Operating Cost/COGS；缺成本細項。</x:v>
      </x:c>
      <x:c r="L39" s="3" t="str">
        <x:v>/Users/yuntzuyu/Downloads/e-loan/Quarter/E-Loan YQYQ-Nexstar Q1.xls</x:v>
      </x:c>
    </x:row>
    <x:row r="40" ht="25" customHeight="1">
      <x:c r="A40" s="3" t="str">
        <x:v>NEXSTAR MEDIA GROUP, INC.</x:v>
      </x:c>
      <x:c r="B40" s="3" t="str">
        <x:v>2026-01-01~2026-03-31</x:v>
      </x:c>
      <x:c r="C40" s="3" t="str">
        <x:v>2026-03-31</x:v>
      </x:c>
      <x:c r="D40" s="3" t="str">
        <x:v>Gross profit</x:v>
      </x:c>
      <x:c r="E40" s="6" t="n">
        <x:f>'計算底稿'!G9</x:f>
        <x:v>785000</x:v>
      </x:c>
      <x:c r="F40" s="3" t="str">
        <x:v>USD  thousand</x:v>
      </x:c>
      <x:c r="G40" s="3" t="str">
        <x:v>原始報表數字</x:v>
      </x:c>
      <x:c r="H40" s="3" t="str">
        <x:v>Report1!R94, Report1!R80, Report1!R86</x:v>
      </x:c>
      <x:c r="I40" s="3" t="str">
        <x:v>營收−營收成本</x:v>
      </x:c>
      <x:c r="J40" s="3" t="str">
        <x:v>計算底稿!G9</x:v>
      </x:c>
      <x:c r="K40" s="3" t="str">
        <x:v>原值與驗算一致。</x:v>
      </x:c>
      <x:c r="L40" s="3" t="str">
        <x:v>/Users/yuntzuyu/Downloads/e-loan/Quarter/E-Loan YQYQ-Nexstar Q1.xls</x:v>
      </x:c>
    </x:row>
    <x:row r="41" ht="25" customHeight="1">
      <x:c r="A41" s="3" t="str">
        <x:v>NEXSTAR MEDIA GROUP, INC.</x:v>
      </x:c>
      <x:c r="B41" s="3" t="str">
        <x:v>2026-01-01~2026-03-31</x:v>
      </x:c>
      <x:c r="C41" s="3" t="str">
        <x:v>2026-03-31</x:v>
      </x:c>
      <x:c r="D41" s="3" t="str">
        <x:v>Operating expense</x:v>
      </x:c>
      <x:c r="E41" s="6" t="n">
        <x:f>'計算底稿'!H9</x:f>
        <x:v>520000</x:v>
      </x:c>
      <x:c r="F41" s="3" t="str">
        <x:v>USD  thousand</x:v>
      </x:c>
      <x:c r="G41" s="3" t="str">
        <x:v>原始報表數字</x:v>
      </x:c>
      <x:c r="H41" s="3" t="str">
        <x:v>Report1!R96, Report1!R94, Report1!R97</x:v>
      </x:c>
      <x:c r="I41" s="3" t="str">
        <x:v>毛利−營業利益（驗算）</x:v>
      </x:c>
      <x:c r="J41" s="3" t="str">
        <x:v>計算底稿!H9</x:v>
      </x:c>
      <x:c r="K41" s="3" t="str">
        <x:v>缺銷管、研發、減損等細分。</x:v>
      </x:c>
      <x:c r="L41" s="3" t="str">
        <x:v>/Users/yuntzuyu/Downloads/e-loan/Quarter/E-Loan YQYQ-Nexstar Q1.xls</x:v>
      </x:c>
    </x:row>
    <x:row r="42" ht="25" customHeight="1">
      <x:c r="A42" s="3" t="str">
        <x:v>NEXSTAR MEDIA GROUP, INC.</x:v>
      </x:c>
      <x:c r="B42" s="3" t="str">
        <x:v>2026-01-01~2026-03-31</x:v>
      </x:c>
      <x:c r="C42" s="3" t="str">
        <x:v>2026-03-31</x:v>
      </x:c>
      <x:c r="D42" s="3" t="str">
        <x:v>Interest expense</x:v>
      </x:c>
      <x:c r="E42" s="6" t="n">
        <x:f>'計算底稿'!I9</x:f>
        <x:v>120000</x:v>
      </x:c>
      <x:c r="F42" s="3" t="str">
        <x:v>USD  thousand</x:v>
      </x:c>
      <x:c r="G42" s="3" t="str">
        <x:v>原始報表數字</x:v>
      </x:c>
      <x:c r="H42" s="3" t="str">
        <x:v>Report1!R106</x:v>
      </x:c>
      <x:c r="I42" s="3" t="str">
        <x:v>直接取原報表第106列</x:v>
      </x:c>
      <x:c r="J42" s="3" t="str">
        <x:v>計算底稿!I9</x:v>
      </x:c>
      <x:c r="K42" s="3" t="str">
        <x:v>屬應計費用；不是現金付息，也不以期末債務×利率替代。</x:v>
      </x:c>
      <x:c r="L42" s="3" t="str">
        <x:v>/Users/yuntzuyu/Downloads/e-loan/Quarter/E-Loan YQYQ-Nexstar Q1.xls</x:v>
      </x:c>
    </x:row>
    <x:row r="43" ht="25" customHeight="1">
      <x:c r="A43" s="3" t="str">
        <x:v>NEXSTAR MEDIA GROUP, INC.</x:v>
      </x:c>
      <x:c r="B43" s="3" t="str">
        <x:v>2026-01-01~2026-03-31</x:v>
      </x:c>
      <x:c r="C43" s="3" t="str">
        <x:v>2026-03-31</x:v>
      </x:c>
      <x:c r="D43" s="3" t="str">
        <x:v>Quick ratio</x:v>
      </x:c>
      <x:c r="E43" s="7" t="n">
        <x:f>'計算底稿'!J9</x:f>
        <x:v>1.5674000000000001</x:v>
      </x:c>
      <x:c r="F43" s="3" t="str">
        <x:v>%</x:v>
      </x:c>
      <x:c r="G43" s="3" t="str">
        <x:v>原始報表數字</x:v>
      </x:c>
      <x:c r="H43" s="3" t="str">
        <x:v>Report1!R198, Report1!R11, Report1!R12, Report1!R13, Report1!R40</x:v>
      </x:c>
      <x:c r="I43" s="3" t="str">
        <x:v>(現金＋流動金融資產＋應收款項)÷流動負債</x:v>
      </x:c>
      <x:c r="J43" s="3" t="str">
        <x:v>計算底稿!J9</x:v>
      </x:c>
      <x:c r="K43" s="3" t="str">
        <x:v>原值為百分比；非直接以流動資產扣存貨。</x:v>
      </x:c>
      <x:c r="L43" s="3" t="str">
        <x:v>/Users/yuntzuyu/Downloads/e-loan/Quarter/E-Loan YQYQ-Nexstar Q1.xls</x:v>
      </x:c>
    </x:row>
    <x:row r="44" ht="25" customHeight="1">
      <x:c r="A44" s="3" t="str">
        <x:v>NEXSTAR MEDIA GROUP, INC.</x:v>
      </x:c>
      <x:c r="B44" s="3" t="str">
        <x:v>2026-01-01~2026-03-31</x:v>
      </x:c>
      <x:c r="C44" s="3" t="str">
        <x:v>2026-03-31</x:v>
      </x:c>
      <x:c r="D44" s="3" t="str">
        <x:v>Debt ratio</x:v>
      </x:c>
      <x:c r="E44" s="7" t="n">
        <x:f>'計算底稿'!K9</x:f>
        <x:v>7.3501</x:v>
      </x:c>
      <x:c r="F44" s="3" t="str">
        <x:v>%</x:v>
      </x:c>
      <x:c r="G44" s="3" t="str">
        <x:v>原始報表數字</x:v>
      </x:c>
      <x:c r="H44" s="3" t="str">
        <x:v>Report1!R203, Report1!R62, Report1!R70</x:v>
      </x:c>
      <x:c r="I44" s="3" t="str">
        <x:v>總負債÷淨值</x:v>
      </x:c>
      <x:c r="J44" s="3" t="str">
        <x:v>計算底稿!K9</x:v>
      </x:c>
      <x:c r="K44" s="3" t="str">
        <x:v>實際為負債淨值比；非負債資產比，亦非有息債務比。</x:v>
      </x:c>
      <x:c r="L44" s="3" t="str">
        <x:v>/Users/yuntzuyu/Downloads/e-loan/Quarter/E-Loan YQYQ-Nexstar Q1.xls</x:v>
      </x:c>
    </x:row>
    <x:row r="45" ht="25" customHeight="1">
      <x:c r="A45" s="3" t="str">
        <x:v>NEXSTAR MEDIA GROUP, INC.</x:v>
      </x:c>
      <x:c r="B45" s="3" t="str">
        <x:v>2026-01-01~2026-03-31</x:v>
      </x:c>
      <x:c r="C45" s="3" t="str">
        <x:v>2026-03-31</x:v>
      </x:c>
      <x:c r="D45" s="3" t="str">
        <x:v>Total debt</x:v>
      </x:c>
      <x:c r="E45" s="6" t="n">
        <x:f>'計算底稿'!L9</x:f>
        <x:v>12152000</x:v>
      </x:c>
      <x:c r="F45" s="3" t="str">
        <x:v>USD  thousand</x:v>
      </x:c>
      <x:c r="G45" s="3" t="str">
        <x:v>推算值／列示項目小計</x:v>
      </x:c>
      <x:c r="H45" s="3" t="str">
        <x:v>Report1!R41, Report1!R43, Report1!R55, Report1!R56</x:v>
      </x:c>
      <x:c r="I45" s="3" t="str">
        <x:v>短期借款＋一年內到期長債＋長期銀行借款＋公司債</x:v>
      </x:c>
      <x:c r="J45" s="3" t="str">
        <x:v>計算底稿!L9</x:v>
      </x:c>
      <x:c r="K45" s="3" t="str">
        <x:v>空白項未計入；租賃等未另加，非契約確認總債務。</x:v>
      </x:c>
      <x:c r="L45" s="3" t="str">
        <x:v>/Users/yuntzuyu/Downloads/e-loan/Quarter/E-Loan YQYQ-Nexstar Q1.xls</x:v>
      </x:c>
    </x:row>
    <x:row r="46" ht="25" customHeight="1">
      <x:c r="A46" s="3" t="str">
        <x:v>NEXSTAR MEDIA GROUP, INC.</x:v>
      </x:c>
      <x:c r="B46" s="3" t="str">
        <x:v>2026-01-01~2026-03-31</x:v>
      </x:c>
      <x:c r="C46" s="3" t="str">
        <x:v>2026-03-31</x:v>
      </x:c>
      <x:c r="D46" s="3" t="str">
        <x:v>EBITDA（報表口徑）</x:v>
      </x:c>
      <x:c r="E46" s="6" t="n">
        <x:f>'計算底稿'!M9</x:f>
        <x:v>466000</x:v>
      </x:c>
      <x:c r="F46" s="3" t="str">
        <x:v>USD  thousand</x:v>
      </x:c>
      <x:c r="G46" s="3" t="str">
        <x:v>推算值</x:v>
      </x:c>
      <x:c r="H46" s="3" t="str">
        <x:v>Report1!R111, Report1!R106, Report1!R121, Report1!R201</x:v>
      </x:c>
      <x:c r="I46" s="3" t="str">
        <x:v>稅前損益＋利息費用＋折舊攤銷</x:v>
      </x:c>
      <x:c r="J46" s="3" t="str">
        <x:v>計算底稿!M9</x:v>
      </x:c>
      <x:c r="K46" s="3" t="str">
        <x:v>可重現原表EBITDA/Interest；含業外損益。</x:v>
      </x:c>
      <x:c r="L46" s="3" t="str">
        <x:v>/Users/yuntzuyu/Downloads/e-loan/Quarter/E-Loan YQYQ-Nexstar Q1.xls</x:v>
      </x:c>
    </x:row>
    <x:row r="47" ht="25" customHeight="1">
      <x:c r="A47" s="3" t="str">
        <x:v>NEXSTAR MEDIA GROUP, INC.</x:v>
      </x:c>
      <x:c r="B47" s="3" t="str">
        <x:v>2026-01-01~2026-03-31</x:v>
      </x:c>
      <x:c r="C47" s="3" t="str">
        <x:v>2026-03-31</x:v>
      </x:c>
      <x:c r="D47" s="3" t="str">
        <x:v>EBITDA basis</x:v>
      </x:c>
      <x:c r="E47" s="3" t="str">
        <x:v>稅前損益＋利息＋折舊攤銷</x:v>
      </x:c>
      <x:c r="F47" s="3" t="str">
        <x:v>文字</x:v>
      </x:c>
      <x:c r="G47" s="3" t="str">
        <x:v>口徑說明</x:v>
      </x:c>
      <x:c r="H47" s="3" t="str">
        <x:v>Report1!R111, Report1!R106, Report1!R121</x:v>
      </x:c>
      <x:c r="I47" s="3" t="str">
        <x:v>稅前損益＋利息費用＋折舊攤銷</x:v>
      </x:c>
      <x:c r="J47" s="3" t="str">
        <x:v>計算底稿!M9</x:v>
      </x:c>
      <x:c r="K47" s="3" t="str">
        <x:v>本列為文字定義；不代表Adjusted或契約EBITDA。</x:v>
      </x:c>
      <x:c r="L47" s="3" t="str">
        <x:v>/Users/yuntzuyu/Downloads/e-loan/Quarter/E-Loan YQYQ-Nexstar Q1.xls</x:v>
      </x:c>
    </x:row>
    <x:row r="48" ht="25" customHeight="1">
      <x:c r="A48" s="3" t="str">
        <x:v>NEXSTAR MEDIA GROUP, INC.</x:v>
      </x:c>
      <x:c r="B48" s="3" t="str">
        <x:v>2026-01-01~2026-03-31</x:v>
      </x:c>
      <x:c r="C48" s="3" t="str">
        <x:v>2026-03-31</x:v>
      </x:c>
      <x:c r="D48" s="3" t="str">
        <x:v>LTM EBITDA</x:v>
      </x:c>
      <x:c r="E48" s="6" t="n">
        <x:f>'計算底稿'!P9</x:f>
        <x:v>1340000</x:v>
      </x:c>
      <x:c r="F48" s="3" t="str">
        <x:v>USD  thousand</x:v>
      </x:c>
      <x:c r="G48" s="3" t="str">
        <x:v>推算值</x:v>
      </x:c>
      <x:c r="H48" s="3" t="str">
        <x:v>Report1!R111, Report1!R106, Report1!R121；EBITDA另取M、I欄第111/106/121列</x:v>
      </x:c>
      <x:c r="I48" s="3" t="str">
        <x:v>全年：當年EBITDA；期中：前全年＋本YTD−前YTD</x:v>
      </x:c>
      <x:c r="J48" s="3" t="str">
        <x:v>計算底稿!P9</x:v>
      </x:c>
      <x:c r="K48" s="3" t="str">
        <x:v>期中缺前同期則資料不足；不採YTD×2或×4。</x:v>
      </x:c>
      <x:c r="L48" s="3" t="str">
        <x:v>/Users/yuntzuyu/Downloads/e-loan/Quarter/E-Loan YQYQ-Nexstar Q1.xls</x:v>
      </x:c>
    </x:row>
    <x:row r="49" ht="25" customHeight="1">
      <x:c r="A49" s="3" t="str">
        <x:v>NEXSTAR MEDIA GROUP, INC.</x:v>
      </x:c>
      <x:c r="B49" s="3" t="str">
        <x:v>2026-01-01~2026-03-31</x:v>
      </x:c>
      <x:c r="C49" s="3" t="str">
        <x:v>2026-03-31</x:v>
      </x:c>
      <x:c r="D49" s="3" t="str">
        <x:v>Total leverage ratio</x:v>
      </x:c>
      <x:c r="E49" s="8" t="n">
        <x:f>'計算底稿'!Q9</x:f>
        <x:v>9.06865671641791</x:v>
      </x:c>
      <x:c r="F49" s="3" t="str">
        <x:v>倍</x:v>
      </x:c>
      <x:c r="G49" s="3" t="str">
        <x:v>推算值／非契約倍數</x:v>
      </x:c>
      <x:c r="H49" s="3" t="str">
        <x:v>Report1!R41, Report1!R43, Report1!R55, Report1!R56, Report1!R111, Report1!R106, Report1!R121；EBITDA另取M、I欄第111/106/121列</x:v>
      </x:c>
      <x:c r="I49" s="3" t="str">
        <x:v>期末列示債務合計÷LTM EBITDA</x:v>
      </x:c>
      <x:c r="J49" s="3" t="str">
        <x:v>計算底稿!Q9</x:v>
      </x:c>
      <x:c r="K49" s="3" t="str">
        <x:v>未扣現金；不含未辨識租賃；EBITDA≤0時標示不具意義。</x:v>
      </x:c>
      <x:c r="L49" s="3" t="str">
        <x:v>/Users/yuntzuyu/Downloads/e-loan/Quarter/E-Loan YQYQ-Nexstar Q1.xls</x:v>
      </x:c>
    </x:row>
    <x:row r="50" ht="25" customHeight="1">
      <x:c r="A50" s="3" t="str">
        <x:v>NEXSTAR MEDIA GROUP, INC.</x:v>
      </x:c>
      <x:c r="B50" s="3" t="str">
        <x:v>2024-01-01~2024-12-31</x:v>
      </x:c>
      <x:c r="C50" s="3" t="str">
        <x:v>2024-12-31</x:v>
      </x:c>
      <x:c r="D50" s="3" t="str">
        <x:v>Cost of revenues</x:v>
      </x:c>
      <x:c r="E50" s="6" t="n">
        <x:f>'計算底稿'!F10</x:f>
        <x:v>2221000</x:v>
      </x:c>
      <x:c r="F50" s="3" t="str">
        <x:v>USD  thousand</x:v>
      </x:c>
      <x:c r="G50" s="3" t="str">
        <x:v>原始報表數字</x:v>
      </x:c>
      <x:c r="H50" s="3" t="str">
        <x:v>Report1!D86</x:v>
      </x:c>
      <x:c r="I50" s="3" t="str">
        <x:v>營收−毛利（驗算）</x:v>
      </x:c>
      <x:c r="J50" s="3" t="str">
        <x:v>計算底稿!F10</x:v>
      </x:c>
      <x:c r="K50" s="3" t="str">
        <x:v>對應Operating Cost/COGS；缺成本細項。</x:v>
      </x:c>
      <x:c r="L50" s="3" t="str">
        <x:v>/Users/yuntzuyu/Downloads/e-loan/Quarter/E-Loan YQYQ-Nexstar Q2.xls</x:v>
      </x:c>
    </x:row>
    <x:row r="51" ht="25" customHeight="1">
      <x:c r="A51" s="3" t="str">
        <x:v>NEXSTAR MEDIA GROUP, INC.</x:v>
      </x:c>
      <x:c r="B51" s="3" t="str">
        <x:v>2024-01-01~2024-12-31</x:v>
      </x:c>
      <x:c r="C51" s="3" t="str">
        <x:v>2024-12-31</x:v>
      </x:c>
      <x:c r="D51" s="3" t="str">
        <x:v>Gross profit</x:v>
      </x:c>
      <x:c r="E51" s="6" t="n">
        <x:f>'計算底稿'!G10</x:f>
        <x:v>3186000</x:v>
      </x:c>
      <x:c r="F51" s="3" t="str">
        <x:v>USD  thousand</x:v>
      </x:c>
      <x:c r="G51" s="3" t="str">
        <x:v>原始報表數字</x:v>
      </x:c>
      <x:c r="H51" s="3" t="str">
        <x:v>Report1!D94, Report1!D80, Report1!D86</x:v>
      </x:c>
      <x:c r="I51" s="3" t="str">
        <x:v>營收−營收成本</x:v>
      </x:c>
      <x:c r="J51" s="3" t="str">
        <x:v>計算底稿!G10</x:v>
      </x:c>
      <x:c r="K51" s="3" t="str">
        <x:v>原值與驗算一致。</x:v>
      </x:c>
      <x:c r="L51" s="3" t="str">
        <x:v>/Users/yuntzuyu/Downloads/e-loan/Quarter/E-Loan YQYQ-Nexstar Q2.xls</x:v>
      </x:c>
    </x:row>
    <x:row r="52" ht="25" customHeight="1">
      <x:c r="A52" s="3" t="str">
        <x:v>NEXSTAR MEDIA GROUP, INC.</x:v>
      </x:c>
      <x:c r="B52" s="3" t="str">
        <x:v>2024-01-01~2024-12-31</x:v>
      </x:c>
      <x:c r="C52" s="3" t="str">
        <x:v>2024-12-31</x:v>
      </x:c>
      <x:c r="D52" s="3" t="str">
        <x:v>Operating expense</x:v>
      </x:c>
      <x:c r="E52" s="6" t="n">
        <x:f>'計算底稿'!H10</x:f>
        <x:v>1918000</x:v>
      </x:c>
      <x:c r="F52" s="3" t="str">
        <x:v>USD  thousand</x:v>
      </x:c>
      <x:c r="G52" s="3" t="str">
        <x:v>原始報表數字</x:v>
      </x:c>
      <x:c r="H52" s="3" t="str">
        <x:v>Report1!D96, Report1!D94, Report1!D97</x:v>
      </x:c>
      <x:c r="I52" s="3" t="str">
        <x:v>毛利−營業利益（驗算）</x:v>
      </x:c>
      <x:c r="J52" s="3" t="str">
        <x:v>計算底稿!H10</x:v>
      </x:c>
      <x:c r="K52" s="3" t="str">
        <x:v>缺銷管、研發、減損等細分。</x:v>
      </x:c>
      <x:c r="L52" s="3" t="str">
        <x:v>/Users/yuntzuyu/Downloads/e-loan/Quarter/E-Loan YQYQ-Nexstar Q2.xls</x:v>
      </x:c>
    </x:row>
    <x:row r="53" ht="25" customHeight="1">
      <x:c r="A53" s="3" t="str">
        <x:v>NEXSTAR MEDIA GROUP, INC.</x:v>
      </x:c>
      <x:c r="B53" s="3" t="str">
        <x:v>2024-01-01~2024-12-31</x:v>
      </x:c>
      <x:c r="C53" s="3" t="str">
        <x:v>2024-12-31</x:v>
      </x:c>
      <x:c r="D53" s="3" t="str">
        <x:v>Interest expense</x:v>
      </x:c>
      <x:c r="E53" s="6" t="n">
        <x:f>'計算底稿'!I10</x:f>
        <x:v>444000</x:v>
      </x:c>
      <x:c r="F53" s="3" t="str">
        <x:v>USD  thousand</x:v>
      </x:c>
      <x:c r="G53" s="3" t="str">
        <x:v>原始報表數字</x:v>
      </x:c>
      <x:c r="H53" s="3" t="str">
        <x:v>Report1!D106</x:v>
      </x:c>
      <x:c r="I53" s="3" t="str">
        <x:v>直接取原報表第106列</x:v>
      </x:c>
      <x:c r="J53" s="3" t="str">
        <x:v>計算底稿!I10</x:v>
      </x:c>
      <x:c r="K53" s="3" t="str">
        <x:v>屬應計費用；不是現金付息，也不以期末債務×利率替代。</x:v>
      </x:c>
      <x:c r="L53" s="3" t="str">
        <x:v>/Users/yuntzuyu/Downloads/e-loan/Quarter/E-Loan YQYQ-Nexstar Q2.xls</x:v>
      </x:c>
    </x:row>
    <x:row r="54" ht="25" customHeight="1">
      <x:c r="A54" s="3" t="str">
        <x:v>NEXSTAR MEDIA GROUP, INC.</x:v>
      </x:c>
      <x:c r="B54" s="3" t="str">
        <x:v>2024-01-01~2024-12-31</x:v>
      </x:c>
      <x:c r="C54" s="3" t="str">
        <x:v>2024-12-31</x:v>
      </x:c>
      <x:c r="D54" s="3" t="str">
        <x:v>Quick ratio</x:v>
      </x:c>
      <x:c r="E54" s="7" t="n">
        <x:f>'計算底稿'!J10</x:f>
        <x:v>1.4968000000000001</x:v>
      </x:c>
      <x:c r="F54" s="3" t="str">
        <x:v>%</x:v>
      </x:c>
      <x:c r="G54" s="3" t="str">
        <x:v>原始報表數字</x:v>
      </x:c>
      <x:c r="H54" s="3" t="str">
        <x:v>Report1!D198, Report1!D11, Report1!D12, Report1!D13, Report1!D40</x:v>
      </x:c>
      <x:c r="I54" s="3" t="str">
        <x:v>(現金＋流動金融資產＋應收款項)÷流動負債</x:v>
      </x:c>
      <x:c r="J54" s="3" t="str">
        <x:v>計算底稿!J10</x:v>
      </x:c>
      <x:c r="K54" s="3" t="str">
        <x:v>原值為百分比；非直接以流動資產扣存貨。</x:v>
      </x:c>
      <x:c r="L54" s="3" t="str">
        <x:v>/Users/yuntzuyu/Downloads/e-loan/Quarter/E-Loan YQYQ-Nexstar Q2.xls</x:v>
      </x:c>
    </x:row>
    <x:row r="55" ht="25" customHeight="1">
      <x:c r="A55" s="3" t="str">
        <x:v>NEXSTAR MEDIA GROUP, INC.</x:v>
      </x:c>
      <x:c r="B55" s="3" t="str">
        <x:v>2024-01-01~2024-12-31</x:v>
      </x:c>
      <x:c r="C55" s="3" t="str">
        <x:v>2024-12-31</x:v>
      </x:c>
      <x:c r="D55" s="3" t="str">
        <x:v>Debt ratio</x:v>
      </x:c>
      <x:c r="E55" s="7" t="n">
        <x:f>'計算底稿'!K10</x:f>
        <x:v>4.0564</x:v>
      </x:c>
      <x:c r="F55" s="3" t="str">
        <x:v>%</x:v>
      </x:c>
      <x:c r="G55" s="3" t="str">
        <x:v>原始報表數字</x:v>
      </x:c>
      <x:c r="H55" s="3" t="str">
        <x:v>Report1!D203, Report1!D62, Report1!D70</x:v>
      </x:c>
      <x:c r="I55" s="3" t="str">
        <x:v>總負債÷淨值</x:v>
      </x:c>
      <x:c r="J55" s="3" t="str">
        <x:v>計算底稿!K10</x:v>
      </x:c>
      <x:c r="K55" s="3" t="str">
        <x:v>實際為負債淨值比；非負債資產比，亦非有息債務比。</x:v>
      </x:c>
      <x:c r="L55" s="3" t="str">
        <x:v>/Users/yuntzuyu/Downloads/e-loan/Quarter/E-Loan YQYQ-Nexstar Q2.xls</x:v>
      </x:c>
    </x:row>
    <x:row r="56" ht="25" customHeight="1">
      <x:c r="A56" s="3" t="str">
        <x:v>NEXSTAR MEDIA GROUP, INC.</x:v>
      </x:c>
      <x:c r="B56" s="3" t="str">
        <x:v>2024-01-01~2024-12-31</x:v>
      </x:c>
      <x:c r="C56" s="3" t="str">
        <x:v>2024-12-31</x:v>
      </x:c>
      <x:c r="D56" s="3" t="str">
        <x:v>Total debt</x:v>
      </x:c>
      <x:c r="E56" s="6" t="n">
        <x:f>'計算底稿'!L10</x:f>
        <x:v>6523000</x:v>
      </x:c>
      <x:c r="F56" s="3" t="str">
        <x:v>USD  thousand</x:v>
      </x:c>
      <x:c r="G56" s="3" t="str">
        <x:v>推算值／列示項目小計</x:v>
      </x:c>
      <x:c r="H56" s="3" t="str">
        <x:v>Report1!D41, Report1!D43, Report1!D55, Report1!D56</x:v>
      </x:c>
      <x:c r="I56" s="3" t="str">
        <x:v>短期借款＋一年內到期長債＋長期銀行借款＋公司債</x:v>
      </x:c>
      <x:c r="J56" s="3" t="str">
        <x:v>計算底稿!L10</x:v>
      </x:c>
      <x:c r="K56" s="3" t="str">
        <x:v>空白項未計入；租賃等未另加，非契約確認總債務。</x:v>
      </x:c>
      <x:c r="L56" s="3" t="str">
        <x:v>/Users/yuntzuyu/Downloads/e-loan/Quarter/E-Loan YQYQ-Nexstar Q2.xls</x:v>
      </x:c>
    </x:row>
    <x:row r="57" ht="25" customHeight="1">
      <x:c r="A57" s="3" t="str">
        <x:v>NEXSTAR MEDIA GROUP, INC.</x:v>
      </x:c>
      <x:c r="B57" s="3" t="str">
        <x:v>2024-01-01~2024-12-31</x:v>
      </x:c>
      <x:c r="C57" s="3" t="str">
        <x:v>2024-12-31</x:v>
      </x:c>
      <x:c r="D57" s="3" t="str">
        <x:v>EBITDA（報表口徑）</x:v>
      </x:c>
      <x:c r="E57" s="6" t="n">
        <x:f>'計算底稿'!M10</x:f>
        <x:v>2211000</x:v>
      </x:c>
      <x:c r="F57" s="3" t="str">
        <x:v>USD  thousand</x:v>
      </x:c>
      <x:c r="G57" s="3" t="str">
        <x:v>推算值</x:v>
      </x:c>
      <x:c r="H57" s="3" t="str">
        <x:v>Report1!D111, Report1!D106, Report1!D121, Report1!D201</x:v>
      </x:c>
      <x:c r="I57" s="3" t="str">
        <x:v>稅前損益＋利息費用＋折舊攤銷</x:v>
      </x:c>
      <x:c r="J57" s="3" t="str">
        <x:v>計算底稿!M10</x:v>
      </x:c>
      <x:c r="K57" s="3" t="str">
        <x:v>可重現原表EBITDA/Interest；含業外損益。</x:v>
      </x:c>
      <x:c r="L57" s="3" t="str">
        <x:v>/Users/yuntzuyu/Downloads/e-loan/Quarter/E-Loan YQYQ-Nexstar Q2.xls</x:v>
      </x:c>
    </x:row>
    <x:row r="58" ht="25" customHeight="1">
      <x:c r="A58" s="3" t="str">
        <x:v>NEXSTAR MEDIA GROUP, INC.</x:v>
      </x:c>
      <x:c r="B58" s="3" t="str">
        <x:v>2024-01-01~2024-12-31</x:v>
      </x:c>
      <x:c r="C58" s="3" t="str">
        <x:v>2024-12-31</x:v>
      </x:c>
      <x:c r="D58" s="3" t="str">
        <x:v>EBITDA basis</x:v>
      </x:c>
      <x:c r="E58" s="3" t="str">
        <x:v>稅前損益＋利息＋折舊攤銷</x:v>
      </x:c>
      <x:c r="F58" s="3" t="str">
        <x:v>文字</x:v>
      </x:c>
      <x:c r="G58" s="3" t="str">
        <x:v>口徑說明</x:v>
      </x:c>
      <x:c r="H58" s="3" t="str">
        <x:v>Report1!D111, Report1!D106, Report1!D121</x:v>
      </x:c>
      <x:c r="I58" s="3" t="str">
        <x:v>稅前損益＋利息費用＋折舊攤銷</x:v>
      </x:c>
      <x:c r="J58" s="3" t="str">
        <x:v>計算底稿!M10</x:v>
      </x:c>
      <x:c r="K58" s="3" t="str">
        <x:v>本列為文字定義；不代表Adjusted或契約EBITDA。</x:v>
      </x:c>
      <x:c r="L58" s="3" t="str">
        <x:v>/Users/yuntzuyu/Downloads/e-loan/Quarter/E-Loan YQYQ-Nexstar Q2.xls</x:v>
      </x:c>
    </x:row>
    <x:row r="59" ht="25" customHeight="1">
      <x:c r="A59" s="3" t="str">
        <x:v>NEXSTAR MEDIA GROUP, INC.</x:v>
      </x:c>
      <x:c r="B59" s="3" t="str">
        <x:v>2024-01-01~2024-12-31</x:v>
      </x:c>
      <x:c r="C59" s="3" t="str">
        <x:v>2024-12-31</x:v>
      </x:c>
      <x:c r="D59" s="3" t="str">
        <x:v>LTM EBITDA</x:v>
      </x:c>
      <x:c r="E59" s="6" t="n">
        <x:f>'計算底稿'!P10</x:f>
        <x:v>2211000</x:v>
      </x:c>
      <x:c r="F59" s="3" t="str">
        <x:v>USD  thousand</x:v>
      </x:c>
      <x:c r="G59" s="3" t="str">
        <x:v>推算值</x:v>
      </x:c>
      <x:c r="H59" s="3" t="str">
        <x:v>Report1!D111, Report1!D106, Report1!D121</x:v>
      </x:c>
      <x:c r="I59" s="3" t="str">
        <x:v>全年：當年EBITDA；期中：前全年＋本YTD−前YTD</x:v>
      </x:c>
      <x:c r="J59" s="3" t="str">
        <x:v>計算底稿!P10</x:v>
      </x:c>
      <x:c r="K59" s="3" t="str">
        <x:v>期中缺前同期則資料不足；不採YTD×2或×4。</x:v>
      </x:c>
      <x:c r="L59" s="3" t="str">
        <x:v>/Users/yuntzuyu/Downloads/e-loan/Quarter/E-Loan YQYQ-Nexstar Q2.xls</x:v>
      </x:c>
    </x:row>
    <x:row r="60" ht="25" customHeight="1">
      <x:c r="A60" s="3" t="str">
        <x:v>NEXSTAR MEDIA GROUP, INC.</x:v>
      </x:c>
      <x:c r="B60" s="3" t="str">
        <x:v>2024-01-01~2024-12-31</x:v>
      </x:c>
      <x:c r="C60" s="3" t="str">
        <x:v>2024-12-31</x:v>
      </x:c>
      <x:c r="D60" s="3" t="str">
        <x:v>Total leverage ratio</x:v>
      </x:c>
      <x:c r="E60" s="8" t="n">
        <x:f>'計算底稿'!Q10</x:f>
        <x:v>2.9502487562189055</x:v>
      </x:c>
      <x:c r="F60" s="3" t="str">
        <x:v>倍</x:v>
      </x:c>
      <x:c r="G60" s="3" t="str">
        <x:v>推算值／非契約倍數</x:v>
      </x:c>
      <x:c r="H60" s="3" t="str">
        <x:v>Report1!D41, Report1!D43, Report1!D55, Report1!D56, Report1!D111, Report1!D106, Report1!D121</x:v>
      </x:c>
      <x:c r="I60" s="3" t="str">
        <x:v>期末列示債務合計÷LTM EBITDA</x:v>
      </x:c>
      <x:c r="J60" s="3" t="str">
        <x:v>計算底稿!Q10</x:v>
      </x:c>
      <x:c r="K60" s="3" t="str">
        <x:v>未扣現金；不含未辨識租賃；EBITDA≤0時標示不具意義。</x:v>
      </x:c>
      <x:c r="L60" s="3" t="str">
        <x:v>/Users/yuntzuyu/Downloads/e-loan/Quarter/E-Loan YQYQ-Nexstar Q2.xls</x:v>
      </x:c>
    </x:row>
    <x:row r="61" ht="25" customHeight="1">
      <x:c r="A61" s="3" t="str">
        <x:v>NEXSTAR MEDIA GROUP, INC.</x:v>
      </x:c>
      <x:c r="B61" s="3" t="str">
        <x:v>2025-01-01~2025-06-30</x:v>
      </x:c>
      <x:c r="C61" s="3" t="str">
        <x:v>2025-06-30</x:v>
      </x:c>
      <x:c r="D61" s="3" t="str">
        <x:v>Cost of revenues</x:v>
      </x:c>
      <x:c r="E61" s="6" t="n">
        <x:f>'計算底稿'!F11</x:f>
        <x:v>1108000</x:v>
      </x:c>
      <x:c r="F61" s="3" t="str">
        <x:v>USD  thousand</x:v>
      </x:c>
      <x:c r="G61" s="3" t="str">
        <x:v>原始報表數字</x:v>
      </x:c>
      <x:c r="H61" s="3" t="str">
        <x:v>Report1!I86</x:v>
      </x:c>
      <x:c r="I61" s="3" t="str">
        <x:v>營收−毛利（驗算）</x:v>
      </x:c>
      <x:c r="J61" s="3" t="str">
        <x:v>計算底稿!F11</x:v>
      </x:c>
      <x:c r="K61" s="3" t="str">
        <x:v>對應Operating Cost/COGS；缺成本細項。</x:v>
      </x:c>
      <x:c r="L61" s="3" t="str">
        <x:v>/Users/yuntzuyu/Downloads/e-loan/Quarter/E-Loan YQYQ-Nexstar Q2.xls</x:v>
      </x:c>
    </x:row>
    <x:row r="62" ht="25" customHeight="1">
      <x:c r="A62" s="3" t="str">
        <x:v>NEXSTAR MEDIA GROUP, INC.</x:v>
      </x:c>
      <x:c r="B62" s="3" t="str">
        <x:v>2025-01-01~2025-06-30</x:v>
      </x:c>
      <x:c r="C62" s="3" t="str">
        <x:v>2025-06-30</x:v>
      </x:c>
      <x:c r="D62" s="3" t="str">
        <x:v>Gross profit</x:v>
      </x:c>
      <x:c r="E62" s="6" t="n">
        <x:f>'計算底稿'!G11</x:f>
        <x:v>1354000</x:v>
      </x:c>
      <x:c r="F62" s="3" t="str">
        <x:v>USD  thousand</x:v>
      </x:c>
      <x:c r="G62" s="3" t="str">
        <x:v>原始報表數字</x:v>
      </x:c>
      <x:c r="H62" s="3" t="str">
        <x:v>Report1!I94, Report1!I80, Report1!I86</x:v>
      </x:c>
      <x:c r="I62" s="3" t="str">
        <x:v>營收−營收成本</x:v>
      </x:c>
      <x:c r="J62" s="3" t="str">
        <x:v>計算底稿!G11</x:v>
      </x:c>
      <x:c r="K62" s="3" t="str">
        <x:v>原值與驗算一致。</x:v>
      </x:c>
      <x:c r="L62" s="3" t="str">
        <x:v>/Users/yuntzuyu/Downloads/e-loan/Quarter/E-Loan YQYQ-Nexstar Q2.xls</x:v>
      </x:c>
    </x:row>
    <x:row r="63" ht="25" customHeight="1">
      <x:c r="A63" s="3" t="str">
        <x:v>NEXSTAR MEDIA GROUP, INC.</x:v>
      </x:c>
      <x:c r="B63" s="3" t="str">
        <x:v>2025-01-01~2025-06-30</x:v>
      </x:c>
      <x:c r="C63" s="3" t="str">
        <x:v>2025-06-30</x:v>
      </x:c>
      <x:c r="D63" s="3" t="str">
        <x:v>Operating expense</x:v>
      </x:c>
      <x:c r="E63" s="6" t="n">
        <x:f>'計算底稿'!H11</x:f>
        <x:v>922000</x:v>
      </x:c>
      <x:c r="F63" s="3" t="str">
        <x:v>USD  thousand</x:v>
      </x:c>
      <x:c r="G63" s="3" t="str">
        <x:v>原始報表數字</x:v>
      </x:c>
      <x:c r="H63" s="3" t="str">
        <x:v>Report1!I96, Report1!I94, Report1!I97</x:v>
      </x:c>
      <x:c r="I63" s="3" t="str">
        <x:v>毛利−營業利益（驗算）</x:v>
      </x:c>
      <x:c r="J63" s="3" t="str">
        <x:v>計算底稿!H11</x:v>
      </x:c>
      <x:c r="K63" s="3" t="str">
        <x:v>缺銷管、研發、減損等細分。</x:v>
      </x:c>
      <x:c r="L63" s="3" t="str">
        <x:v>/Users/yuntzuyu/Downloads/e-loan/Quarter/E-Loan YQYQ-Nexstar Q2.xls</x:v>
      </x:c>
    </x:row>
    <x:row r="64" ht="25" customHeight="1">
      <x:c r="A64" s="3" t="str">
        <x:v>NEXSTAR MEDIA GROUP, INC.</x:v>
      </x:c>
      <x:c r="B64" s="3" t="str">
        <x:v>2025-01-01~2025-06-30</x:v>
      </x:c>
      <x:c r="C64" s="3" t="str">
        <x:v>2025-06-30</x:v>
      </x:c>
      <x:c r="D64" s="3" t="str">
        <x:v>Interest expense</x:v>
      </x:c>
      <x:c r="E64" s="6" t="n">
        <x:f>'計算底稿'!I11</x:f>
        <x:v>194000</x:v>
      </x:c>
      <x:c r="F64" s="3" t="str">
        <x:v>USD  thousand</x:v>
      </x:c>
      <x:c r="G64" s="3" t="str">
        <x:v>原始報表數字</x:v>
      </x:c>
      <x:c r="H64" s="3" t="str">
        <x:v>Report1!I106</x:v>
      </x:c>
      <x:c r="I64" s="3" t="str">
        <x:v>直接取原報表第106列</x:v>
      </x:c>
      <x:c r="J64" s="3" t="str">
        <x:v>計算底稿!I11</x:v>
      </x:c>
      <x:c r="K64" s="3" t="str">
        <x:v>屬應計費用；不是現金付息，也不以期末債務×利率替代。</x:v>
      </x:c>
      <x:c r="L64" s="3" t="str">
        <x:v>/Users/yuntzuyu/Downloads/e-loan/Quarter/E-Loan YQYQ-Nexstar Q2.xls</x:v>
      </x:c>
    </x:row>
    <x:row r="65" ht="25" customHeight="1">
      <x:c r="A65" s="3" t="str">
        <x:v>NEXSTAR MEDIA GROUP, INC.</x:v>
      </x:c>
      <x:c r="B65" s="3" t="str">
        <x:v>2025-01-01~2025-06-30</x:v>
      </x:c>
      <x:c r="C65" s="3" t="str">
        <x:v>2025-06-30</x:v>
      </x:c>
      <x:c r="D65" s="3" t="str">
        <x:v>Quick ratio</x:v>
      </x:c>
      <x:c r="E65" s="7" t="n">
        <x:f>'計算底稿'!J11</x:f>
        <x:v>1.5261000000000002</x:v>
      </x:c>
      <x:c r="F65" s="3" t="str">
        <x:v>%</x:v>
      </x:c>
      <x:c r="G65" s="3" t="str">
        <x:v>原始報表數字</x:v>
      </x:c>
      <x:c r="H65" s="3" t="str">
        <x:v>Report1!I198, Report1!I11, Report1!I12, Report1!I13, Report1!I40</x:v>
      </x:c>
      <x:c r="I65" s="3" t="str">
        <x:v>(現金＋流動金融資產＋應收款項)÷流動負債</x:v>
      </x:c>
      <x:c r="J65" s="3" t="str">
        <x:v>計算底稿!J11</x:v>
      </x:c>
      <x:c r="K65" s="3" t="str">
        <x:v>原值為百分比；非直接以流動資產扣存貨。</x:v>
      </x:c>
      <x:c r="L65" s="3" t="str">
        <x:v>/Users/yuntzuyu/Downloads/e-loan/Quarter/E-Loan YQYQ-Nexstar Q2.xls</x:v>
      </x:c>
    </x:row>
    <x:row r="66" ht="25" customHeight="1">
      <x:c r="A66" s="3" t="str">
        <x:v>NEXSTAR MEDIA GROUP, INC.</x:v>
      </x:c>
      <x:c r="B66" s="3" t="str">
        <x:v>2025-01-01~2025-06-30</x:v>
      </x:c>
      <x:c r="C66" s="3" t="str">
        <x:v>2025-06-30</x:v>
      </x:c>
      <x:c r="D66" s="3" t="str">
        <x:v>Debt ratio</x:v>
      </x:c>
      <x:c r="E66" s="7" t="n">
        <x:f>'計算底稿'!K11</x:f>
        <x:v>4.0213</x:v>
      </x:c>
      <x:c r="F66" s="3" t="str">
        <x:v>%</x:v>
      </x:c>
      <x:c r="G66" s="3" t="str">
        <x:v>原始報表數字</x:v>
      </x:c>
      <x:c r="H66" s="3" t="str">
        <x:v>Report1!I203, Report1!I62, Report1!I70</x:v>
      </x:c>
      <x:c r="I66" s="3" t="str">
        <x:v>總負債÷淨值</x:v>
      </x:c>
      <x:c r="J66" s="3" t="str">
        <x:v>計算底稿!K11</x:v>
      </x:c>
      <x:c r="K66" s="3" t="str">
        <x:v>實際為負債淨值比；非負債資產比，亦非有息債務比。</x:v>
      </x:c>
      <x:c r="L66" s="3" t="str">
        <x:v>/Users/yuntzuyu/Downloads/e-loan/Quarter/E-Loan YQYQ-Nexstar Q2.xls</x:v>
      </x:c>
    </x:row>
    <x:row r="67" ht="25" customHeight="1">
      <x:c r="A67" s="3" t="str">
        <x:v>NEXSTAR MEDIA GROUP, INC.</x:v>
      </x:c>
      <x:c r="B67" s="3" t="str">
        <x:v>2025-01-01~2025-06-30</x:v>
      </x:c>
      <x:c r="C67" s="3" t="str">
        <x:v>2025-06-30</x:v>
      </x:c>
      <x:c r="D67" s="3" t="str">
        <x:v>Total debt</x:v>
      </x:c>
      <x:c r="E67" s="6" t="n">
        <x:f>'計算底稿'!L11</x:f>
        <x:v>6383000</x:v>
      </x:c>
      <x:c r="F67" s="3" t="str">
        <x:v>USD  thousand</x:v>
      </x:c>
      <x:c r="G67" s="3" t="str">
        <x:v>推算值／列示項目小計</x:v>
      </x:c>
      <x:c r="H67" s="3" t="str">
        <x:v>Report1!I41, Report1!I43, Report1!I55, Report1!I56</x:v>
      </x:c>
      <x:c r="I67" s="3" t="str">
        <x:v>短期借款＋一年內到期長債＋長期銀行借款＋公司債</x:v>
      </x:c>
      <x:c r="J67" s="3" t="str">
        <x:v>計算底稿!L11</x:v>
      </x:c>
      <x:c r="K67" s="3" t="str">
        <x:v>空白項未計入；租賃等未另加，非契約確認總債務。</x:v>
      </x:c>
      <x:c r="L67" s="3" t="str">
        <x:v>/Users/yuntzuyu/Downloads/e-loan/Quarter/E-Loan YQYQ-Nexstar Q2.xls</x:v>
      </x:c>
    </x:row>
    <x:row r="68" ht="25" customHeight="1">
      <x:c r="A68" s="3" t="str">
        <x:v>NEXSTAR MEDIA GROUP, INC.</x:v>
      </x:c>
      <x:c r="B68" s="3" t="str">
        <x:v>2025-01-01~2025-06-30</x:v>
      </x:c>
      <x:c r="C68" s="3" t="str">
        <x:v>2025-06-30</x:v>
      </x:c>
      <x:c r="D68" s="3" t="str">
        <x:v>EBITDA（報表口徑）</x:v>
      </x:c>
      <x:c r="E68" s="6" t="n">
        <x:f>'計算底稿'!M11</x:f>
        <x:v>864000</x:v>
      </x:c>
      <x:c r="F68" s="3" t="str">
        <x:v>USD  thousand</x:v>
      </x:c>
      <x:c r="G68" s="3" t="str">
        <x:v>推算值</x:v>
      </x:c>
      <x:c r="H68" s="3" t="str">
        <x:v>Report1!I111, Report1!I106, Report1!I121, Report1!I201</x:v>
      </x:c>
      <x:c r="I68" s="3" t="str">
        <x:v>稅前損益＋利息費用＋折舊攤銷</x:v>
      </x:c>
      <x:c r="J68" s="3" t="str">
        <x:v>計算底稿!M11</x:v>
      </x:c>
      <x:c r="K68" s="3" t="str">
        <x:v>可重現原表EBITDA/Interest；含業外損益。</x:v>
      </x:c>
      <x:c r="L68" s="3" t="str">
        <x:v>/Users/yuntzuyu/Downloads/e-loan/Quarter/E-Loan YQYQ-Nexstar Q2.xls</x:v>
      </x:c>
    </x:row>
    <x:row r="69" ht="25" customHeight="1">
      <x:c r="A69" s="3" t="str">
        <x:v>NEXSTAR MEDIA GROUP, INC.</x:v>
      </x:c>
      <x:c r="B69" s="3" t="str">
        <x:v>2025-01-01~2025-06-30</x:v>
      </x:c>
      <x:c r="C69" s="3" t="str">
        <x:v>2025-06-30</x:v>
      </x:c>
      <x:c r="D69" s="3" t="str">
        <x:v>EBITDA basis</x:v>
      </x:c>
      <x:c r="E69" s="3" t="str">
        <x:v>稅前損益＋利息＋折舊攤銷</x:v>
      </x:c>
      <x:c r="F69" s="3" t="str">
        <x:v>文字</x:v>
      </x:c>
      <x:c r="G69" s="3" t="str">
        <x:v>口徑說明</x:v>
      </x:c>
      <x:c r="H69" s="3" t="str">
        <x:v>Report1!I111, Report1!I106, Report1!I121</x:v>
      </x:c>
      <x:c r="I69" s="3" t="str">
        <x:v>稅前損益＋利息費用＋折舊攤銷</x:v>
      </x:c>
      <x:c r="J69" s="3" t="str">
        <x:v>計算底稿!M11</x:v>
      </x:c>
      <x:c r="K69" s="3" t="str">
        <x:v>本列為文字定義；不代表Adjusted或契約EBITDA。</x:v>
      </x:c>
      <x:c r="L69" s="3" t="str">
        <x:v>/Users/yuntzuyu/Downloads/e-loan/Quarter/E-Loan YQYQ-Nexstar Q2.xls</x:v>
      </x:c>
    </x:row>
    <x:row r="70" ht="25" customHeight="1">
      <x:c r="A70" s="3" t="str">
        <x:v>NEXSTAR MEDIA GROUP, INC.</x:v>
      </x:c>
      <x:c r="B70" s="3" t="str">
        <x:v>2025-01-01~2025-06-30</x:v>
      </x:c>
      <x:c r="C70" s="3" t="str">
        <x:v>2025-06-30</x:v>
      </x:c>
      <x:c r="D70" s="3" t="str">
        <x:v>LTM EBITDA</x:v>
      </x:c>
      <x:c r="E70" s="6" t="str">
        <x:f>'計算底稿'!P11</x:f>
        <x:v>資料不足</x:v>
      </x:c>
      <x:c r="F70" s="3" t="str">
        <x:v>USD  thousand</x:v>
      </x:c>
      <x:c r="G70" s="3" t="str">
        <x:v>推算值</x:v>
      </x:c>
      <x:c r="H70" s="3" t="str">
        <x:v>Report1!I111, Report1!I106, Report1!I121</x:v>
      </x:c>
      <x:c r="I70" s="3" t="str">
        <x:v>全年：當年EBITDA；期中：前全年＋本YTD−前YTD</x:v>
      </x:c>
      <x:c r="J70" s="3" t="str">
        <x:v>計算底稿!P11</x:v>
      </x:c>
      <x:c r="K70" s="3" t="str">
        <x:v>期中缺前同期則資料不足；不採YTD×2或×4。</x:v>
      </x:c>
      <x:c r="L70" s="3" t="str">
        <x:v>/Users/yuntzuyu/Downloads/e-loan/Quarter/E-Loan YQYQ-Nexstar Q2.xls</x:v>
      </x:c>
    </x:row>
    <x:row r="71" ht="25" customHeight="1">
      <x:c r="A71" s="3" t="str">
        <x:v>NEXSTAR MEDIA GROUP, INC.</x:v>
      </x:c>
      <x:c r="B71" s="3" t="str">
        <x:v>2025-01-01~2025-06-30</x:v>
      </x:c>
      <x:c r="C71" s="3" t="str">
        <x:v>2025-06-30</x:v>
      </x:c>
      <x:c r="D71" s="3" t="str">
        <x:v>Total leverage ratio</x:v>
      </x:c>
      <x:c r="E71" s="8" t="str">
        <x:f>'計算底稿'!Q11</x:f>
        <x:v>資料不足</x:v>
      </x:c>
      <x:c r="F71" s="3" t="str">
        <x:v>倍</x:v>
      </x:c>
      <x:c r="G71" s="3" t="str">
        <x:v>推算值／非契約倍數</x:v>
      </x:c>
      <x:c r="H71" s="3" t="str">
        <x:v>Report1!I41, Report1!I43, Report1!I55, Report1!I56, Report1!I111, Report1!I106, Report1!I121</x:v>
      </x:c>
      <x:c r="I71" s="3" t="str">
        <x:v>期末列示債務合計÷LTM EBITDA</x:v>
      </x:c>
      <x:c r="J71" s="3" t="str">
        <x:v>計算底稿!Q11</x:v>
      </x:c>
      <x:c r="K71" s="3" t="str">
        <x:v>未扣現金；不含未辨識租賃；EBITDA≤0時標示不具意義。</x:v>
      </x:c>
      <x:c r="L71" s="3" t="str">
        <x:v>/Users/yuntzuyu/Downloads/e-loan/Quarter/E-Loan YQYQ-Nexstar Q2.xls</x:v>
      </x:c>
    </x:row>
    <x:row r="72" ht="25" customHeight="1">
      <x:c r="A72" s="3" t="str">
        <x:v>NEXSTAR MEDIA GROUP, INC.</x:v>
      </x:c>
      <x:c r="B72" s="3" t="str">
        <x:v>2025-01-01~2025-12-31</x:v>
      </x:c>
      <x:c r="C72" s="3" t="str">
        <x:v>2025-12-31</x:v>
      </x:c>
      <x:c r="D72" s="3" t="str">
        <x:v>Cost of revenues</x:v>
      </x:c>
      <x:c r="E72" s="6" t="n">
        <x:f>'計算底稿'!F12</x:f>
        <x:v>2235000</x:v>
      </x:c>
      <x:c r="F72" s="3" t="str">
        <x:v>USD  thousand</x:v>
      </x:c>
      <x:c r="G72" s="3" t="str">
        <x:v>原始報表數字</x:v>
      </x:c>
      <x:c r="H72" s="3" t="str">
        <x:v>Report1!M86</x:v>
      </x:c>
      <x:c r="I72" s="3" t="str">
        <x:v>營收−毛利（驗算）</x:v>
      </x:c>
      <x:c r="J72" s="3" t="str">
        <x:v>計算底稿!F12</x:v>
      </x:c>
      <x:c r="K72" s="3" t="str">
        <x:v>對應Operating Cost/COGS；缺成本細項。</x:v>
      </x:c>
      <x:c r="L72" s="3" t="str">
        <x:v>/Users/yuntzuyu/Downloads/e-loan/Quarter/E-Loan YQYQ-Nexstar Q2.xls</x:v>
      </x:c>
    </x:row>
    <x:row r="73" ht="25" customHeight="1">
      <x:c r="A73" s="3" t="str">
        <x:v>NEXSTAR MEDIA GROUP, INC.</x:v>
      </x:c>
      <x:c r="B73" s="3" t="str">
        <x:v>2025-01-01~2025-12-31</x:v>
      </x:c>
      <x:c r="C73" s="3" t="str">
        <x:v>2025-12-31</x:v>
      </x:c>
      <x:c r="D73" s="3" t="str">
        <x:v>Gross profit</x:v>
      </x:c>
      <x:c r="E73" s="6" t="n">
        <x:f>'計算底稿'!G12</x:f>
        <x:v>2714000</x:v>
      </x:c>
      <x:c r="F73" s="3" t="str">
        <x:v>USD  thousand</x:v>
      </x:c>
      <x:c r="G73" s="3" t="str">
        <x:v>原始報表數字</x:v>
      </x:c>
      <x:c r="H73" s="3" t="str">
        <x:v>Report1!M94, Report1!M80, Report1!M86</x:v>
      </x:c>
      <x:c r="I73" s="3" t="str">
        <x:v>營收−營收成本</x:v>
      </x:c>
      <x:c r="J73" s="3" t="str">
        <x:v>計算底稿!G12</x:v>
      </x:c>
      <x:c r="K73" s="3" t="str">
        <x:v>原值與驗算一致。</x:v>
      </x:c>
      <x:c r="L73" s="3" t="str">
        <x:v>/Users/yuntzuyu/Downloads/e-loan/Quarter/E-Loan YQYQ-Nexstar Q2.xls</x:v>
      </x:c>
    </x:row>
    <x:row r="74" ht="25" customHeight="1">
      <x:c r="A74" s="3" t="str">
        <x:v>NEXSTAR MEDIA GROUP, INC.</x:v>
      </x:c>
      <x:c r="B74" s="3" t="str">
        <x:v>2025-01-01~2025-12-31</x:v>
      </x:c>
      <x:c r="C74" s="3" t="str">
        <x:v>2025-12-31</x:v>
      </x:c>
      <x:c r="D74" s="3" t="str">
        <x:v>Operating expense</x:v>
      </x:c>
      <x:c r="E74" s="6" t="n">
        <x:f>'計算底稿'!H12</x:f>
        <x:v>1865000</x:v>
      </x:c>
      <x:c r="F74" s="3" t="str">
        <x:v>USD  thousand</x:v>
      </x:c>
      <x:c r="G74" s="3" t="str">
        <x:v>原始報表數字</x:v>
      </x:c>
      <x:c r="H74" s="3" t="str">
        <x:v>Report1!M96, Report1!M94, Report1!M97</x:v>
      </x:c>
      <x:c r="I74" s="3" t="str">
        <x:v>毛利−營業利益（驗算）</x:v>
      </x:c>
      <x:c r="J74" s="3" t="str">
        <x:v>計算底稿!H12</x:v>
      </x:c>
      <x:c r="K74" s="3" t="str">
        <x:v>缺銷管、研發、減損等細分。</x:v>
      </x:c>
      <x:c r="L74" s="3" t="str">
        <x:v>/Users/yuntzuyu/Downloads/e-loan/Quarter/E-Loan YQYQ-Nexstar Q2.xls</x:v>
      </x:c>
    </x:row>
    <x:row r="75" ht="25" customHeight="1">
      <x:c r="A75" s="3" t="str">
        <x:v>NEXSTAR MEDIA GROUP, INC.</x:v>
      </x:c>
      <x:c r="B75" s="3" t="str">
        <x:v>2025-01-01~2025-12-31</x:v>
      </x:c>
      <x:c r="C75" s="3" t="str">
        <x:v>2025-12-31</x:v>
      </x:c>
      <x:c r="D75" s="3" t="str">
        <x:v>Interest expense</x:v>
      </x:c>
      <x:c r="E75" s="6" t="n">
        <x:f>'計算底稿'!I12</x:f>
        <x:v>379000</x:v>
      </x:c>
      <x:c r="F75" s="3" t="str">
        <x:v>USD  thousand</x:v>
      </x:c>
      <x:c r="G75" s="3" t="str">
        <x:v>原始報表數字</x:v>
      </x:c>
      <x:c r="H75" s="3" t="str">
        <x:v>Report1!M106</x:v>
      </x:c>
      <x:c r="I75" s="3" t="str">
        <x:v>直接取原報表第106列</x:v>
      </x:c>
      <x:c r="J75" s="3" t="str">
        <x:v>計算底稿!I12</x:v>
      </x:c>
      <x:c r="K75" s="3" t="str">
        <x:v>屬應計費用；不是現金付息，也不以期末債務×利率替代。</x:v>
      </x:c>
      <x:c r="L75" s="3" t="str">
        <x:v>/Users/yuntzuyu/Downloads/e-loan/Quarter/E-Loan YQYQ-Nexstar Q2.xls</x:v>
      </x:c>
    </x:row>
    <x:row r="76" ht="25" customHeight="1">
      <x:c r="A76" s="3" t="str">
        <x:v>NEXSTAR MEDIA GROUP, INC.</x:v>
      </x:c>
      <x:c r="B76" s="3" t="str">
        <x:v>2025-01-01~2025-12-31</x:v>
      </x:c>
      <x:c r="C76" s="3" t="str">
        <x:v>2025-12-31</x:v>
      </x:c>
      <x:c r="D76" s="3" t="str">
        <x:v>Quick ratio</x:v>
      </x:c>
      <x:c r="E76" s="7" t="n">
        <x:f>'計算底稿'!J12</x:f>
        <x:v>1.9058000000000002</x:v>
      </x:c>
      <x:c r="F76" s="3" t="str">
        <x:v>%</x:v>
      </x:c>
      <x:c r="G76" s="3" t="str">
        <x:v>原始報表數字</x:v>
      </x:c>
      <x:c r="H76" s="3" t="str">
        <x:v>Report1!M198, Report1!M11, Report1!M12, Report1!M13, Report1!M40</x:v>
      </x:c>
      <x:c r="I76" s="3" t="str">
        <x:v>(現金＋流動金融資產＋應收款項)÷流動負債</x:v>
      </x:c>
      <x:c r="J76" s="3" t="str">
        <x:v>計算底稿!J12</x:v>
      </x:c>
      <x:c r="K76" s="3" t="str">
        <x:v>原值為百分比；非直接以流動資產扣存貨。</x:v>
      </x:c>
      <x:c r="L76" s="3" t="str">
        <x:v>/Users/yuntzuyu/Downloads/e-loan/Quarter/E-Loan YQYQ-Nexstar Q2.xls</x:v>
      </x:c>
    </x:row>
    <x:row r="77" ht="25" customHeight="1">
      <x:c r="A77" s="3" t="str">
        <x:v>NEXSTAR MEDIA GROUP, INC.</x:v>
      </x:c>
      <x:c r="B77" s="3" t="str">
        <x:v>2025-01-01~2025-12-31</x:v>
      </x:c>
      <x:c r="C77" s="3" t="str">
        <x:v>2025-12-31</x:v>
      </x:c>
      <x:c r="D77" s="3" t="str">
        <x:v>Debt ratio</x:v>
      </x:c>
      <x:c r="E77" s="7" t="n">
        <x:f>'計算底稿'!K12</x:f>
        <x:v>4.2599</x:v>
      </x:c>
      <x:c r="F77" s="3" t="str">
        <x:v>%</x:v>
      </x:c>
      <x:c r="G77" s="3" t="str">
        <x:v>原始報表數字</x:v>
      </x:c>
      <x:c r="H77" s="3" t="str">
        <x:v>Report1!M203, Report1!M62, Report1!M70</x:v>
      </x:c>
      <x:c r="I77" s="3" t="str">
        <x:v>總負債÷淨值</x:v>
      </x:c>
      <x:c r="J77" s="3" t="str">
        <x:v>計算底稿!K12</x:v>
      </x:c>
      <x:c r="K77" s="3" t="str">
        <x:v>實際為負債淨值比；非負債資產比，亦非有息債務比。</x:v>
      </x:c>
      <x:c r="L77" s="3" t="str">
        <x:v>/Users/yuntzuyu/Downloads/e-loan/Quarter/E-Loan YQYQ-Nexstar Q2.xls</x:v>
      </x:c>
    </x:row>
    <x:row r="78" ht="25" customHeight="1">
      <x:c r="A78" s="3" t="str">
        <x:v>NEXSTAR MEDIA GROUP, INC.</x:v>
      </x:c>
      <x:c r="B78" s="3" t="str">
        <x:v>2025-01-01~2025-12-31</x:v>
      </x:c>
      <x:c r="C78" s="3" t="str">
        <x:v>2025-12-31</x:v>
      </x:c>
      <x:c r="D78" s="3" t="str">
        <x:v>Total debt</x:v>
      </x:c>
      <x:c r="E78" s="6" t="n">
        <x:f>'計算底稿'!L12</x:f>
        <x:v>6333000</x:v>
      </x:c>
      <x:c r="F78" s="3" t="str">
        <x:v>USD  thousand</x:v>
      </x:c>
      <x:c r="G78" s="3" t="str">
        <x:v>推算值／列示項目小計</x:v>
      </x:c>
      <x:c r="H78" s="3" t="str">
        <x:v>Report1!M41, Report1!M43, Report1!M55, Report1!M56</x:v>
      </x:c>
      <x:c r="I78" s="3" t="str">
        <x:v>短期借款＋一年內到期長債＋長期銀行借款＋公司債</x:v>
      </x:c>
      <x:c r="J78" s="3" t="str">
        <x:v>計算底稿!L12</x:v>
      </x:c>
      <x:c r="K78" s="3" t="str">
        <x:v>空白項未計入；租賃等未另加，非契約確認總債務。</x:v>
      </x:c>
      <x:c r="L78" s="3" t="str">
        <x:v>/Users/yuntzuyu/Downloads/e-loan/Quarter/E-Loan YQYQ-Nexstar Q2.xls</x:v>
      </x:c>
    </x:row>
    <x:row r="79" ht="25" customHeight="1">
      <x:c r="A79" s="3" t="str">
        <x:v>NEXSTAR MEDIA GROUP, INC.</x:v>
      </x:c>
      <x:c r="B79" s="3" t="str">
        <x:v>2025-01-01~2025-12-31</x:v>
      </x:c>
      <x:c r="C79" s="3" t="str">
        <x:v>2025-12-31</x:v>
      </x:c>
      <x:c r="D79" s="3" t="str">
        <x:v>EBITDA（報表口徑）</x:v>
      </x:c>
      <x:c r="E79" s="6" t="n">
        <x:f>'計算底稿'!M12</x:f>
        <x:v>1314000</x:v>
      </x:c>
      <x:c r="F79" s="3" t="str">
        <x:v>USD  thousand</x:v>
      </x:c>
      <x:c r="G79" s="3" t="str">
        <x:v>推算值</x:v>
      </x:c>
      <x:c r="H79" s="3" t="str">
        <x:v>Report1!M111, Report1!M106, Report1!M121, Report1!M201</x:v>
      </x:c>
      <x:c r="I79" s="3" t="str">
        <x:v>稅前損益＋利息費用＋折舊攤銷</x:v>
      </x:c>
      <x:c r="J79" s="3" t="str">
        <x:v>計算底稿!M12</x:v>
      </x:c>
      <x:c r="K79" s="3" t="str">
        <x:v>可重現原表EBITDA/Interest；含業外損益。</x:v>
      </x:c>
      <x:c r="L79" s="3" t="str">
        <x:v>/Users/yuntzuyu/Downloads/e-loan/Quarter/E-Loan YQYQ-Nexstar Q2.xls</x:v>
      </x:c>
    </x:row>
    <x:row r="80" ht="25" customHeight="1">
      <x:c r="A80" s="3" t="str">
        <x:v>NEXSTAR MEDIA GROUP, INC.</x:v>
      </x:c>
      <x:c r="B80" s="3" t="str">
        <x:v>2025-01-01~2025-12-31</x:v>
      </x:c>
      <x:c r="C80" s="3" t="str">
        <x:v>2025-12-31</x:v>
      </x:c>
      <x:c r="D80" s="3" t="str">
        <x:v>EBITDA basis</x:v>
      </x:c>
      <x:c r="E80" s="3" t="str">
        <x:v>稅前損益＋利息＋折舊攤銷</x:v>
      </x:c>
      <x:c r="F80" s="3" t="str">
        <x:v>文字</x:v>
      </x:c>
      <x:c r="G80" s="3" t="str">
        <x:v>口徑說明</x:v>
      </x:c>
      <x:c r="H80" s="3" t="str">
        <x:v>Report1!M111, Report1!M106, Report1!M121</x:v>
      </x:c>
      <x:c r="I80" s="3" t="str">
        <x:v>稅前損益＋利息費用＋折舊攤銷</x:v>
      </x:c>
      <x:c r="J80" s="3" t="str">
        <x:v>計算底稿!M12</x:v>
      </x:c>
      <x:c r="K80" s="3" t="str">
        <x:v>本列為文字定義；不代表Adjusted或契約EBITDA。</x:v>
      </x:c>
      <x:c r="L80" s="3" t="str">
        <x:v>/Users/yuntzuyu/Downloads/e-loan/Quarter/E-Loan YQYQ-Nexstar Q2.xls</x:v>
      </x:c>
    </x:row>
    <x:row r="81" ht="25" customHeight="1">
      <x:c r="A81" s="3" t="str">
        <x:v>NEXSTAR MEDIA GROUP, INC.</x:v>
      </x:c>
      <x:c r="B81" s="3" t="str">
        <x:v>2025-01-01~2025-12-31</x:v>
      </x:c>
      <x:c r="C81" s="3" t="str">
        <x:v>2025-12-31</x:v>
      </x:c>
      <x:c r="D81" s="3" t="str">
        <x:v>LTM EBITDA</x:v>
      </x:c>
      <x:c r="E81" s="6" t="n">
        <x:f>'計算底稿'!P12</x:f>
        <x:v>1314000</x:v>
      </x:c>
      <x:c r="F81" s="3" t="str">
        <x:v>USD  thousand</x:v>
      </x:c>
      <x:c r="G81" s="3" t="str">
        <x:v>推算值</x:v>
      </x:c>
      <x:c r="H81" s="3" t="str">
        <x:v>Report1!M111, Report1!M106, Report1!M121</x:v>
      </x:c>
      <x:c r="I81" s="3" t="str">
        <x:v>全年：當年EBITDA；期中：前全年＋本YTD−前YTD</x:v>
      </x:c>
      <x:c r="J81" s="3" t="str">
        <x:v>計算底稿!P12</x:v>
      </x:c>
      <x:c r="K81" s="3" t="str">
        <x:v>期中缺前同期則資料不足；不採YTD×2或×4。</x:v>
      </x:c>
      <x:c r="L81" s="3" t="str">
        <x:v>/Users/yuntzuyu/Downloads/e-loan/Quarter/E-Loan YQYQ-Nexstar Q2.xls</x:v>
      </x:c>
    </x:row>
    <x:row r="82" ht="25" customHeight="1">
      <x:c r="A82" s="3" t="str">
        <x:v>NEXSTAR MEDIA GROUP, INC.</x:v>
      </x:c>
      <x:c r="B82" s="3" t="str">
        <x:v>2025-01-01~2025-12-31</x:v>
      </x:c>
      <x:c r="C82" s="3" t="str">
        <x:v>2025-12-31</x:v>
      </x:c>
      <x:c r="D82" s="3" t="str">
        <x:v>Total leverage ratio</x:v>
      </x:c>
      <x:c r="E82" s="8" t="n">
        <x:f>'計算底稿'!Q12</x:f>
        <x:v>4.819634703196347</x:v>
      </x:c>
      <x:c r="F82" s="3" t="str">
        <x:v>倍</x:v>
      </x:c>
      <x:c r="G82" s="3" t="str">
        <x:v>推算值／非契約倍數</x:v>
      </x:c>
      <x:c r="H82" s="3" t="str">
        <x:v>Report1!M41, Report1!M43, Report1!M55, Report1!M56, Report1!M111, Report1!M106, Report1!M121</x:v>
      </x:c>
      <x:c r="I82" s="3" t="str">
        <x:v>期末列示債務合計÷LTM EBITDA</x:v>
      </x:c>
      <x:c r="J82" s="3" t="str">
        <x:v>計算底稿!Q12</x:v>
      </x:c>
      <x:c r="K82" s="3" t="str">
        <x:v>未扣現金；不含未辨識租賃；EBITDA≤0時標示不具意義。</x:v>
      </x:c>
      <x:c r="L82" s="3" t="str">
        <x:v>/Users/yuntzuyu/Downloads/e-loan/Quarter/E-Loan YQYQ-Nexstar Q2.xls</x:v>
      </x:c>
    </x:row>
    <x:row r="83" ht="25" customHeight="1">
      <x:c r="A83" s="3" t="str">
        <x:v>NEXSTAR MEDIA GROUP, INC.</x:v>
      </x:c>
      <x:c r="B83" s="3" t="str">
        <x:v>2026-01-01~2026-06-30</x:v>
      </x:c>
      <x:c r="C83" s="3" t="str">
        <x:v>2026-06-30</x:v>
      </x:c>
      <x:c r="D83" s="3" t="str">
        <x:v>Cost of revenues</x:v>
      </x:c>
      <x:c r="E83" s="6" t="n">
        <x:f>'計算底稿'!F13</x:f>
        <x:v>1541000</x:v>
      </x:c>
      <x:c r="F83" s="3" t="str">
        <x:v>USD  thousand</x:v>
      </x:c>
      <x:c r="G83" s="3" t="str">
        <x:v>原始報表數字</x:v>
      </x:c>
      <x:c r="H83" s="3" t="str">
        <x:v>Report1!R86</x:v>
      </x:c>
      <x:c r="I83" s="3" t="str">
        <x:v>營收−毛利（驗算）</x:v>
      </x:c>
      <x:c r="J83" s="3" t="str">
        <x:v>計算底稿!F13</x:v>
      </x:c>
      <x:c r="K83" s="3" t="str">
        <x:v>對應Operating Cost/COGS；缺成本細項。</x:v>
      </x:c>
      <x:c r="L83" s="3" t="str">
        <x:v>/Users/yuntzuyu/Downloads/e-loan/Quarter/E-Loan YQYQ-Nexstar Q2.xls</x:v>
      </x:c>
    </x:row>
    <x:row r="84" ht="25" customHeight="1">
      <x:c r="A84" s="3" t="str">
        <x:v>NEXSTAR MEDIA GROUP, INC.</x:v>
      </x:c>
      <x:c r="B84" s="3" t="str">
        <x:v>2026-01-01~2026-06-30</x:v>
      </x:c>
      <x:c r="C84" s="3" t="str">
        <x:v>2026-06-30</x:v>
      </x:c>
      <x:c r="D84" s="3" t="str">
        <x:v>Gross profit</x:v>
      </x:c>
      <x:c r="E84" s="6" t="n">
        <x:f>'計算底稿'!G13</x:f>
        <x:v>1848000</x:v>
      </x:c>
      <x:c r="F84" s="3" t="str">
        <x:v>USD  thousand</x:v>
      </x:c>
      <x:c r="G84" s="3" t="str">
        <x:v>原始報表數字</x:v>
      </x:c>
      <x:c r="H84" s="3" t="str">
        <x:v>Report1!R94, Report1!R80, Report1!R86</x:v>
      </x:c>
      <x:c r="I84" s="3" t="str">
        <x:v>營收−營收成本</x:v>
      </x:c>
      <x:c r="J84" s="3" t="str">
        <x:v>計算底稿!G13</x:v>
      </x:c>
      <x:c r="K84" s="3" t="str">
        <x:v>原值與驗算一致。</x:v>
      </x:c>
      <x:c r="L84" s="3" t="str">
        <x:v>/Users/yuntzuyu/Downloads/e-loan/Quarter/E-Loan YQYQ-Nexstar Q2.xls</x:v>
      </x:c>
    </x:row>
    <x:row r="85" ht="25" customHeight="1">
      <x:c r="A85" s="3" t="str">
        <x:v>NEXSTAR MEDIA GROUP, INC.</x:v>
      </x:c>
      <x:c r="B85" s="3" t="str">
        <x:v>2026-01-01~2026-06-30</x:v>
      </x:c>
      <x:c r="C85" s="3" t="str">
        <x:v>2026-06-30</x:v>
      </x:c>
      <x:c r="D85" s="3" t="str">
        <x:v>Operating expense</x:v>
      </x:c>
      <x:c r="E85" s="6" t="n">
        <x:f>'計算底稿'!H13</x:f>
        <x:v>1221000</x:v>
      </x:c>
      <x:c r="F85" s="3" t="str">
        <x:v>USD  thousand</x:v>
      </x:c>
      <x:c r="G85" s="3" t="str">
        <x:v>原始報表數字</x:v>
      </x:c>
      <x:c r="H85" s="3" t="str">
        <x:v>Report1!R96, Report1!R94, Report1!R97</x:v>
      </x:c>
      <x:c r="I85" s="3" t="str">
        <x:v>毛利−營業利益（驗算）</x:v>
      </x:c>
      <x:c r="J85" s="3" t="str">
        <x:v>計算底稿!H13</x:v>
      </x:c>
      <x:c r="K85" s="3" t="str">
        <x:v>缺銷管、研發、減損等細分。</x:v>
      </x:c>
      <x:c r="L85" s="3" t="str">
        <x:v>/Users/yuntzuyu/Downloads/e-loan/Quarter/E-Loan YQYQ-Nexstar Q2.xls</x:v>
      </x:c>
    </x:row>
    <x:row r="86" ht="25" customHeight="1">
      <x:c r="A86" s="3" t="str">
        <x:v>NEXSTAR MEDIA GROUP, INC.</x:v>
      </x:c>
      <x:c r="B86" s="3" t="str">
        <x:v>2026-01-01~2026-06-30</x:v>
      </x:c>
      <x:c r="C86" s="3" t="str">
        <x:v>2026-06-30</x:v>
      </x:c>
      <x:c r="D86" s="3" t="str">
        <x:v>Interest expense</x:v>
      </x:c>
      <x:c r="E86" s="6" t="n">
        <x:f>'計算底稿'!I13</x:f>
        <x:v>309000</x:v>
      </x:c>
      <x:c r="F86" s="3" t="str">
        <x:v>USD  thousand</x:v>
      </x:c>
      <x:c r="G86" s="3" t="str">
        <x:v>原始報表數字</x:v>
      </x:c>
      <x:c r="H86" s="3" t="str">
        <x:v>Report1!R106</x:v>
      </x:c>
      <x:c r="I86" s="3" t="str">
        <x:v>直接取原報表第106列</x:v>
      </x:c>
      <x:c r="J86" s="3" t="str">
        <x:v>計算底稿!I13</x:v>
      </x:c>
      <x:c r="K86" s="3" t="str">
        <x:v>屬應計費用；不是現金付息，也不以期末債務×利率替代。</x:v>
      </x:c>
      <x:c r="L86" s="3" t="str">
        <x:v>/Users/yuntzuyu/Downloads/e-loan/Quarter/E-Loan YQYQ-Nexstar Q2.xls</x:v>
      </x:c>
    </x:row>
    <x:row r="87" ht="25" customHeight="1">
      <x:c r="A87" s="3" t="str">
        <x:v>NEXSTAR MEDIA GROUP, INC.</x:v>
      </x:c>
      <x:c r="B87" s="3" t="str">
        <x:v>2026-01-01~2026-06-30</x:v>
      </x:c>
      <x:c r="C87" s="3" t="str">
        <x:v>2026-06-30</x:v>
      </x:c>
      <x:c r="D87" s="3" t="str">
        <x:v>Quick ratio</x:v>
      </x:c>
      <x:c r="E87" s="7" t="n">
        <x:f>'計算底稿'!J13</x:f>
        <x:v>1.4034</x:v>
      </x:c>
      <x:c r="F87" s="3" t="str">
        <x:v>%</x:v>
      </x:c>
      <x:c r="G87" s="3" t="str">
        <x:v>原始報表數字</x:v>
      </x:c>
      <x:c r="H87" s="3" t="str">
        <x:v>Report1!R198, Report1!R11, Report1!R12, Report1!R13, Report1!R40</x:v>
      </x:c>
      <x:c r="I87" s="3" t="str">
        <x:v>(現金＋流動金融資產＋應收款項)÷流動負債</x:v>
      </x:c>
      <x:c r="J87" s="3" t="str">
        <x:v>計算底稿!J13</x:v>
      </x:c>
      <x:c r="K87" s="3" t="str">
        <x:v>原值為百分比；非直接以流動資產扣存貨。</x:v>
      </x:c>
      <x:c r="L87" s="3" t="str">
        <x:v>/Users/yuntzuyu/Downloads/e-loan/Quarter/E-Loan YQYQ-Nexstar Q2.xls</x:v>
      </x:c>
    </x:row>
    <x:row r="88" ht="25" customHeight="1">
      <x:c r="A88" s="3" t="str">
        <x:v>NEXSTAR MEDIA GROUP, INC.</x:v>
      </x:c>
      <x:c r="B88" s="3" t="str">
        <x:v>2026-01-01~2026-06-30</x:v>
      </x:c>
      <x:c r="C88" s="3" t="str">
        <x:v>2026-06-30</x:v>
      </x:c>
      <x:c r="D88" s="3" t="str">
        <x:v>Debt ratio</x:v>
      </x:c>
      <x:c r="E88" s="7" t="n">
        <x:f>'計算底稿'!K13</x:f>
        <x:v>6.8246</x:v>
      </x:c>
      <x:c r="F88" s="3" t="str">
        <x:v>%</x:v>
      </x:c>
      <x:c r="G88" s="3" t="str">
        <x:v>原始報表數字</x:v>
      </x:c>
      <x:c r="H88" s="3" t="str">
        <x:v>Report1!R203, Report1!R62, Report1!R70</x:v>
      </x:c>
      <x:c r="I88" s="3" t="str">
        <x:v>總負債÷淨值</x:v>
      </x:c>
      <x:c r="J88" s="3" t="str">
        <x:v>計算底稿!K13</x:v>
      </x:c>
      <x:c r="K88" s="3" t="str">
        <x:v>實際為負債淨值比；非負債資產比，亦非有息債務比。</x:v>
      </x:c>
      <x:c r="L88" s="3" t="str">
        <x:v>/Users/yuntzuyu/Downloads/e-loan/Quarter/E-Loan YQYQ-Nexstar Q2.xls</x:v>
      </x:c>
    </x:row>
    <x:row r="89" ht="25" customHeight="1">
      <x:c r="A89" s="3" t="str">
        <x:v>NEXSTAR MEDIA GROUP, INC.</x:v>
      </x:c>
      <x:c r="B89" s="3" t="str">
        <x:v>2026-01-01~2026-06-30</x:v>
      </x:c>
      <x:c r="C89" s="3" t="str">
        <x:v>2026-06-30</x:v>
      </x:c>
      <x:c r="D89" s="3" t="str">
        <x:v>Total debt</x:v>
      </x:c>
      <x:c r="E89" s="6" t="n">
        <x:f>'計算底稿'!L13</x:f>
        <x:v>11744000</x:v>
      </x:c>
      <x:c r="F89" s="3" t="str">
        <x:v>USD  thousand</x:v>
      </x:c>
      <x:c r="G89" s="3" t="str">
        <x:v>推算值／列示項目小計</x:v>
      </x:c>
      <x:c r="H89" s="3" t="str">
        <x:v>Report1!R41, Report1!R43, Report1!R55, Report1!R56</x:v>
      </x:c>
      <x:c r="I89" s="3" t="str">
        <x:v>短期借款＋一年內到期長債＋長期銀行借款＋公司債</x:v>
      </x:c>
      <x:c r="J89" s="3" t="str">
        <x:v>計算底稿!L13</x:v>
      </x:c>
      <x:c r="K89" s="3" t="str">
        <x:v>空白項未計入；租賃等未另加，非契約確認總債務。</x:v>
      </x:c>
      <x:c r="L89" s="3" t="str">
        <x:v>/Users/yuntzuyu/Downloads/e-loan/Quarter/E-Loan YQYQ-Nexstar Q2.xls</x:v>
      </x:c>
    </x:row>
    <x:row r="90" ht="25" customHeight="1">
      <x:c r="A90" s="3" t="str">
        <x:v>NEXSTAR MEDIA GROUP, INC.</x:v>
      </x:c>
      <x:c r="B90" s="3" t="str">
        <x:v>2026-01-01~2026-06-30</x:v>
      </x:c>
      <x:c r="C90" s="3" t="str">
        <x:v>2026-06-30</x:v>
      </x:c>
      <x:c r="D90" s="3" t="str">
        <x:v>EBITDA（報表口徑）</x:v>
      </x:c>
      <x:c r="E90" s="6" t="n">
        <x:f>'計算底稿'!M13</x:f>
        <x:v>1077000</x:v>
      </x:c>
      <x:c r="F90" s="3" t="str">
        <x:v>USD  thousand</x:v>
      </x:c>
      <x:c r="G90" s="3" t="str">
        <x:v>推算值</x:v>
      </x:c>
      <x:c r="H90" s="3" t="str">
        <x:v>Report1!R111, Report1!R106, Report1!R121, Report1!R201</x:v>
      </x:c>
      <x:c r="I90" s="3" t="str">
        <x:v>稅前損益＋利息費用＋折舊攤銷</x:v>
      </x:c>
      <x:c r="J90" s="3" t="str">
        <x:v>計算底稿!M13</x:v>
      </x:c>
      <x:c r="K90" s="3" t="str">
        <x:v>可重現原表EBITDA/Interest；含業外損益。</x:v>
      </x:c>
      <x:c r="L90" s="3" t="str">
        <x:v>/Users/yuntzuyu/Downloads/e-loan/Quarter/E-Loan YQYQ-Nexstar Q2.xls</x:v>
      </x:c>
    </x:row>
    <x:row r="91" ht="25" customHeight="1">
      <x:c r="A91" s="3" t="str">
        <x:v>NEXSTAR MEDIA GROUP, INC.</x:v>
      </x:c>
      <x:c r="B91" s="3" t="str">
        <x:v>2026-01-01~2026-06-30</x:v>
      </x:c>
      <x:c r="C91" s="3" t="str">
        <x:v>2026-06-30</x:v>
      </x:c>
      <x:c r="D91" s="3" t="str">
        <x:v>EBITDA basis</x:v>
      </x:c>
      <x:c r="E91" s="3" t="str">
        <x:v>稅前損益＋利息＋折舊攤銷</x:v>
      </x:c>
      <x:c r="F91" s="3" t="str">
        <x:v>文字</x:v>
      </x:c>
      <x:c r="G91" s="3" t="str">
        <x:v>口徑說明</x:v>
      </x:c>
      <x:c r="H91" s="3" t="str">
        <x:v>Report1!R111, Report1!R106, Report1!R121</x:v>
      </x:c>
      <x:c r="I91" s="3" t="str">
        <x:v>稅前損益＋利息費用＋折舊攤銷</x:v>
      </x:c>
      <x:c r="J91" s="3" t="str">
        <x:v>計算底稿!M13</x:v>
      </x:c>
      <x:c r="K91" s="3" t="str">
        <x:v>本列為文字定義；不代表Adjusted或契約EBITDA。</x:v>
      </x:c>
      <x:c r="L91" s="3" t="str">
        <x:v>/Users/yuntzuyu/Downloads/e-loan/Quarter/E-Loan YQYQ-Nexstar Q2.xls</x:v>
      </x:c>
    </x:row>
    <x:row r="92" ht="25" customHeight="1">
      <x:c r="A92" s="3" t="str">
        <x:v>NEXSTAR MEDIA GROUP, INC.</x:v>
      </x:c>
      <x:c r="B92" s="3" t="str">
        <x:v>2026-01-01~2026-06-30</x:v>
      </x:c>
      <x:c r="C92" s="3" t="str">
        <x:v>2026-06-30</x:v>
      </x:c>
      <x:c r="D92" s="3" t="str">
        <x:v>LTM EBITDA</x:v>
      </x:c>
      <x:c r="E92" s="6" t="n">
        <x:f>'計算底稿'!P13</x:f>
        <x:v>1527000</x:v>
      </x:c>
      <x:c r="F92" s="3" t="str">
        <x:v>USD  thousand</x:v>
      </x:c>
      <x:c r="G92" s="3" t="str">
        <x:v>推算值</x:v>
      </x:c>
      <x:c r="H92" s="3" t="str">
        <x:v>Report1!R111, Report1!R106, Report1!R121；EBITDA另取M、I欄第111/106/121列</x:v>
      </x:c>
      <x:c r="I92" s="3" t="str">
        <x:v>全年：當年EBITDA；期中：前全年＋本YTD−前YTD</x:v>
      </x:c>
      <x:c r="J92" s="3" t="str">
        <x:v>計算底稿!P13</x:v>
      </x:c>
      <x:c r="K92" s="3" t="str">
        <x:v>期中缺前同期則資料不足；不採YTD×2或×4。</x:v>
      </x:c>
      <x:c r="L92" s="3" t="str">
        <x:v>/Users/yuntzuyu/Downloads/e-loan/Quarter/E-Loan YQYQ-Nexstar Q2.xls</x:v>
      </x:c>
    </x:row>
    <x:row r="93" ht="25" customHeight="1">
      <x:c r="A93" s="3" t="str">
        <x:v>NEXSTAR MEDIA GROUP, INC.</x:v>
      </x:c>
      <x:c r="B93" s="3" t="str">
        <x:v>2026-01-01~2026-06-30</x:v>
      </x:c>
      <x:c r="C93" s="3" t="str">
        <x:v>2026-06-30</x:v>
      </x:c>
      <x:c r="D93" s="3" t="str">
        <x:v>Total leverage ratio</x:v>
      </x:c>
      <x:c r="E93" s="8" t="n">
        <x:f>'計算底稿'!Q13</x:f>
        <x:v>7.690897184020956</x:v>
      </x:c>
      <x:c r="F93" s="3" t="str">
        <x:v>倍</x:v>
      </x:c>
      <x:c r="G93" s="3" t="str">
        <x:v>推算值／非契約倍數</x:v>
      </x:c>
      <x:c r="H93" s="3" t="str">
        <x:v>Report1!R41, Report1!R43, Report1!R55, Report1!R56, Report1!R111, Report1!R106, Report1!R121；EBITDA另取M、I欄第111/106/121列</x:v>
      </x:c>
      <x:c r="I93" s="3" t="str">
        <x:v>期末列示債務合計÷LTM EBITDA</x:v>
      </x:c>
      <x:c r="J93" s="3" t="str">
        <x:v>計算底稿!Q13</x:v>
      </x:c>
      <x:c r="K93" s="3" t="str">
        <x:v>未扣現金；不含未辨識租賃；EBITDA≤0時標示不具意義。</x:v>
      </x:c>
      <x:c r="L93" s="3" t="str">
        <x:v>/Users/yuntzuyu/Downloads/e-loan/Quarter/E-Loan YQYQ-Nexstar Q2.xls</x:v>
      </x:c>
    </x:row>
    <x:row r="94" ht="25" customHeight="1">
      <x:c r="A94" s="3" t="str">
        <x:v>CROCS, INC.</x:v>
      </x:c>
      <x:c r="B94" s="3" t="str">
        <x:v>2024-01-01~2024-12-31</x:v>
      </x:c>
      <x:c r="C94" s="3" t="str">
        <x:v>2024-12-31</x:v>
      </x:c>
      <x:c r="D94" s="3" t="str">
        <x:v>Cost of revenues</x:v>
      </x:c>
      <x:c r="E94" s="6" t="n">
        <x:f>'計算底稿'!F14</x:f>
        <x:v>1691850</x:v>
      </x:c>
      <x:c r="F94" s="3" t="str">
        <x:v>USD  thousand</x:v>
      </x:c>
      <x:c r="G94" s="3" t="str">
        <x:v>原始報表數字</x:v>
      </x:c>
      <x:c r="H94" s="3" t="str">
        <x:v>Report1!D86</x:v>
      </x:c>
      <x:c r="I94" s="3" t="str">
        <x:v>營收−毛利（驗算）</x:v>
      </x:c>
      <x:c r="J94" s="3" t="str">
        <x:v>計算底稿!F14</x:v>
      </x:c>
      <x:c r="K94" s="3" t="str">
        <x:v>對應Operating Cost/COGS；缺成本細項。</x:v>
      </x:c>
      <x:c r="L94" s="3" t="str">
        <x:v>/Users/yuntzuyu/Downloads/e-loan/Quarter/e-Loan YQYQ-CROX Q2.xls</x:v>
      </x:c>
    </x:row>
    <x:row r="95" ht="25" customHeight="1">
      <x:c r="A95" s="3" t="str">
        <x:v>CROCS, INC.</x:v>
      </x:c>
      <x:c r="B95" s="3" t="str">
        <x:v>2024-01-01~2024-12-31</x:v>
      </x:c>
      <x:c r="C95" s="3" t="str">
        <x:v>2024-12-31</x:v>
      </x:c>
      <x:c r="D95" s="3" t="str">
        <x:v>Gross profit</x:v>
      </x:c>
      <x:c r="E95" s="6" t="n">
        <x:f>'計算底稿'!G14</x:f>
        <x:v>2410258</x:v>
      </x:c>
      <x:c r="F95" s="3" t="str">
        <x:v>USD  thousand</x:v>
      </x:c>
      <x:c r="G95" s="3" t="str">
        <x:v>原始報表數字</x:v>
      </x:c>
      <x:c r="H95" s="3" t="str">
        <x:v>Report1!D94, Report1!D80, Report1!D86</x:v>
      </x:c>
      <x:c r="I95" s="3" t="str">
        <x:v>營收−營收成本</x:v>
      </x:c>
      <x:c r="J95" s="3" t="str">
        <x:v>計算底稿!G14</x:v>
      </x:c>
      <x:c r="K95" s="3" t="str">
        <x:v>原值與驗算一致。</x:v>
      </x:c>
      <x:c r="L95" s="3" t="str">
        <x:v>/Users/yuntzuyu/Downloads/e-loan/Quarter/e-Loan YQYQ-CROX Q2.xls</x:v>
      </x:c>
    </x:row>
    <x:row r="96" ht="25" customHeight="1">
      <x:c r="A96" s="3" t="str">
        <x:v>CROCS, INC.</x:v>
      </x:c>
      <x:c r="B96" s="3" t="str">
        <x:v>2024-01-01~2024-12-31</x:v>
      </x:c>
      <x:c r="C96" s="3" t="str">
        <x:v>2024-12-31</x:v>
      </x:c>
      <x:c r="D96" s="3" t="str">
        <x:v>Operating expense</x:v>
      </x:c>
      <x:c r="E96" s="6" t="n">
        <x:f>'計算底稿'!H14</x:f>
        <x:v>1388347</x:v>
      </x:c>
      <x:c r="F96" s="3" t="str">
        <x:v>USD  thousand</x:v>
      </x:c>
      <x:c r="G96" s="3" t="str">
        <x:v>原始報表數字</x:v>
      </x:c>
      <x:c r="H96" s="3" t="str">
        <x:v>Report1!D96, Report1!D94, Report1!D97</x:v>
      </x:c>
      <x:c r="I96" s="3" t="str">
        <x:v>毛利−營業利益（驗算）</x:v>
      </x:c>
      <x:c r="J96" s="3" t="str">
        <x:v>計算底稿!H14</x:v>
      </x:c>
      <x:c r="K96" s="3" t="str">
        <x:v>缺銷管、研發、減損等細分。</x:v>
      </x:c>
      <x:c r="L96" s="3" t="str">
        <x:v>/Users/yuntzuyu/Downloads/e-loan/Quarter/e-Loan YQYQ-CROX Q2.xls</x:v>
      </x:c>
    </x:row>
    <x:row r="97" ht="25" customHeight="1">
      <x:c r="A97" s="3" t="str">
        <x:v>CROCS, INC.</x:v>
      </x:c>
      <x:c r="B97" s="3" t="str">
        <x:v>2024-01-01~2024-12-31</x:v>
      </x:c>
      <x:c r="C97" s="3" t="str">
        <x:v>2024-12-31</x:v>
      </x:c>
      <x:c r="D97" s="3" t="str">
        <x:v>Interest expense</x:v>
      </x:c>
      <x:c r="E97" s="6" t="n">
        <x:f>'計算底稿'!I14</x:f>
        <x:v>109264</x:v>
      </x:c>
      <x:c r="F97" s="3" t="str">
        <x:v>USD  thousand</x:v>
      </x:c>
      <x:c r="G97" s="3" t="str">
        <x:v>原始報表數字</x:v>
      </x:c>
      <x:c r="H97" s="3" t="str">
        <x:v>Report1!D106</x:v>
      </x:c>
      <x:c r="I97" s="3" t="str">
        <x:v>直接取原報表第106列</x:v>
      </x:c>
      <x:c r="J97" s="3" t="str">
        <x:v>計算底稿!I14</x:v>
      </x:c>
      <x:c r="K97" s="3" t="str">
        <x:v>屬應計費用；不是現金付息，也不以期末債務×利率替代。</x:v>
      </x:c>
      <x:c r="L97" s="3" t="str">
        <x:v>/Users/yuntzuyu/Downloads/e-loan/Quarter/e-Loan YQYQ-CROX Q2.xls</x:v>
      </x:c>
    </x:row>
    <x:row r="98" ht="25" customHeight="1">
      <x:c r="A98" s="3" t="str">
        <x:v>CROCS, INC.</x:v>
      </x:c>
      <x:c r="B98" s="3" t="str">
        <x:v>2024-01-01~2024-12-31</x:v>
      </x:c>
      <x:c r="C98" s="3" t="str">
        <x:v>2024-12-31</x:v>
      </x:c>
      <x:c r="D98" s="3" t="str">
        <x:v>Quick ratio</x:v>
      </x:c>
      <x:c r="E98" s="7" t="n">
        <x:f>'計算底稿'!J14</x:f>
        <x:v>0.5919</x:v>
      </x:c>
      <x:c r="F98" s="3" t="str">
        <x:v>%</x:v>
      </x:c>
      <x:c r="G98" s="3" t="str">
        <x:v>原始報表數字</x:v>
      </x:c>
      <x:c r="H98" s="3" t="str">
        <x:v>Report1!D198, Report1!D11, Report1!D12, Report1!D13, Report1!D40</x:v>
      </x:c>
      <x:c r="I98" s="3" t="str">
        <x:v>(現金＋流動金融資產＋應收款項)÷流動負債</x:v>
      </x:c>
      <x:c r="J98" s="3" t="str">
        <x:v>計算底稿!J14</x:v>
      </x:c>
      <x:c r="K98" s="3" t="str">
        <x:v>原值為百分比；非直接以流動資產扣存貨。</x:v>
      </x:c>
      <x:c r="L98" s="3" t="str">
        <x:v>/Users/yuntzuyu/Downloads/e-loan/Quarter/e-Loan YQYQ-CROX Q2.xls</x:v>
      </x:c>
    </x:row>
    <x:row r="99" ht="25" customHeight="1">
      <x:c r="A99" s="3" t="str">
        <x:v>CROCS, INC.</x:v>
      </x:c>
      <x:c r="B99" s="3" t="str">
        <x:v>2024-01-01~2024-12-31</x:v>
      </x:c>
      <x:c r="C99" s="3" t="str">
        <x:v>2024-12-31</x:v>
      </x:c>
      <x:c r="D99" s="3" t="str">
        <x:v>Debt ratio</x:v>
      </x:c>
      <x:c r="E99" s="7" t="n">
        <x:f>'計算底稿'!K14</x:f>
        <x:v>1.6214</x:v>
      </x:c>
      <x:c r="F99" s="3" t="str">
        <x:v>%</x:v>
      </x:c>
      <x:c r="G99" s="3" t="str">
        <x:v>原始報表數字</x:v>
      </x:c>
      <x:c r="H99" s="3" t="str">
        <x:v>Report1!D203, Report1!D62, Report1!D70</x:v>
      </x:c>
      <x:c r="I99" s="3" t="str">
        <x:v>總負債÷淨值</x:v>
      </x:c>
      <x:c r="J99" s="3" t="str">
        <x:v>計算底稿!K14</x:v>
      </x:c>
      <x:c r="K99" s="3" t="str">
        <x:v>實際為負債淨值比；非負債資產比，亦非有息債務比。</x:v>
      </x:c>
      <x:c r="L99" s="3" t="str">
        <x:v>/Users/yuntzuyu/Downloads/e-loan/Quarter/e-Loan YQYQ-CROX Q2.xls</x:v>
      </x:c>
    </x:row>
    <x:row r="100" ht="25" customHeight="1">
      <x:c r="A100" s="3" t="str">
        <x:v>CROCS, INC.</x:v>
      </x:c>
      <x:c r="B100" s="3" t="str">
        <x:v>2024-01-01~2024-12-31</x:v>
      </x:c>
      <x:c r="C100" s="3" t="str">
        <x:v>2024-12-31</x:v>
      </x:c>
      <x:c r="D100" s="3" t="str">
        <x:v>Total debt</x:v>
      </x:c>
      <x:c r="E100" s="6" t="n">
        <x:f>'計算底稿'!L14</x:f>
        <x:v>1349339</x:v>
      </x:c>
      <x:c r="F100" s="3" t="str">
        <x:v>USD  thousand</x:v>
      </x:c>
      <x:c r="G100" s="3" t="str">
        <x:v>推算值／列示項目小計</x:v>
      </x:c>
      <x:c r="H100" s="3" t="str">
        <x:v>Report1!D41, Report1!D43, Report1!D55, Report1!D56</x:v>
      </x:c>
      <x:c r="I100" s="3" t="str">
        <x:v>短期借款＋一年內到期長債＋長期銀行借款＋公司債</x:v>
      </x:c>
      <x:c r="J100" s="3" t="str">
        <x:v>計算底稿!L14</x:v>
      </x:c>
      <x:c r="K100" s="3" t="str">
        <x:v>空白項未計入；租賃等未另加，非契約確認總債務。</x:v>
      </x:c>
      <x:c r="L100" s="3" t="str">
        <x:v>/Users/yuntzuyu/Downloads/e-loan/Quarter/e-Loan YQYQ-CROX Q2.xls</x:v>
      </x:c>
    </x:row>
    <x:row r="101" ht="25" customHeight="1">
      <x:c r="A101" s="3" t="str">
        <x:v>CROCS, INC.</x:v>
      </x:c>
      <x:c r="B101" s="3" t="str">
        <x:v>2024-01-01~2024-12-31</x:v>
      </x:c>
      <x:c r="C101" s="3" t="str">
        <x:v>2024-12-31</x:v>
      </x:c>
      <x:c r="D101" s="3" t="str">
        <x:v>EBITDA（報表口徑）</x:v>
      </x:c>
      <x:c r="E101" s="6" t="n">
        <x:f>'計算底稿'!M14</x:f>
        <x:v>1089689</x:v>
      </x:c>
      <x:c r="F101" s="3" t="str">
        <x:v>USD  thousand</x:v>
      </x:c>
      <x:c r="G101" s="3" t="str">
        <x:v>推算值</x:v>
      </x:c>
      <x:c r="H101" s="3" t="str">
        <x:v>Report1!D111, Report1!D106, Report1!D121, Report1!D201</x:v>
      </x:c>
      <x:c r="I101" s="3" t="str">
        <x:v>稅前損益＋利息費用＋折舊攤銷</x:v>
      </x:c>
      <x:c r="J101" s="3" t="str">
        <x:v>計算底稿!M14</x:v>
      </x:c>
      <x:c r="K101" s="3" t="str">
        <x:v>可重現原表EBITDA/Interest；含業外損益。</x:v>
      </x:c>
      <x:c r="L101" s="3" t="str">
        <x:v>/Users/yuntzuyu/Downloads/e-loan/Quarter/e-Loan YQYQ-CROX Q2.xls</x:v>
      </x:c>
    </x:row>
    <x:row r="102" ht="25" customHeight="1">
      <x:c r="A102" s="3" t="str">
        <x:v>CROCS, INC.</x:v>
      </x:c>
      <x:c r="B102" s="3" t="str">
        <x:v>2024-01-01~2024-12-31</x:v>
      </x:c>
      <x:c r="C102" s="3" t="str">
        <x:v>2024-12-31</x:v>
      </x:c>
      <x:c r="D102" s="3" t="str">
        <x:v>EBITDA basis</x:v>
      </x:c>
      <x:c r="E102" s="3" t="str">
        <x:v>稅前損益＋利息＋折舊攤銷</x:v>
      </x:c>
      <x:c r="F102" s="3" t="str">
        <x:v>文字</x:v>
      </x:c>
      <x:c r="G102" s="3" t="str">
        <x:v>口徑說明</x:v>
      </x:c>
      <x:c r="H102" s="3" t="str">
        <x:v>Report1!D111, Report1!D106, Report1!D121</x:v>
      </x:c>
      <x:c r="I102" s="3" t="str">
        <x:v>稅前損益＋利息費用＋折舊攤銷</x:v>
      </x:c>
      <x:c r="J102" s="3" t="str">
        <x:v>計算底稿!M14</x:v>
      </x:c>
      <x:c r="K102" s="3" t="str">
        <x:v>本列為文字定義；不代表Adjusted或契約EBITDA。</x:v>
      </x:c>
      <x:c r="L102" s="3" t="str">
        <x:v>/Users/yuntzuyu/Downloads/e-loan/Quarter/e-Loan YQYQ-CROX Q2.xls</x:v>
      </x:c>
    </x:row>
    <x:row r="103" ht="25" customHeight="1">
      <x:c r="A103" s="3" t="str">
        <x:v>CROCS, INC.</x:v>
      </x:c>
      <x:c r="B103" s="3" t="str">
        <x:v>2024-01-01~2024-12-31</x:v>
      </x:c>
      <x:c r="C103" s="3" t="str">
        <x:v>2024-12-31</x:v>
      </x:c>
      <x:c r="D103" s="3" t="str">
        <x:v>LTM EBITDA</x:v>
      </x:c>
      <x:c r="E103" s="6" t="n">
        <x:f>'計算底稿'!P14</x:f>
        <x:v>1089689</x:v>
      </x:c>
      <x:c r="F103" s="3" t="str">
        <x:v>USD  thousand</x:v>
      </x:c>
      <x:c r="G103" s="3" t="str">
        <x:v>推算值</x:v>
      </x:c>
      <x:c r="H103" s="3" t="str">
        <x:v>Report1!D111, Report1!D106, Report1!D121</x:v>
      </x:c>
      <x:c r="I103" s="3" t="str">
        <x:v>全年：當年EBITDA；期中：前全年＋本YTD−前YTD</x:v>
      </x:c>
      <x:c r="J103" s="3" t="str">
        <x:v>計算底稿!P14</x:v>
      </x:c>
      <x:c r="K103" s="3" t="str">
        <x:v>期中缺前同期則資料不足；不採YTD×2或×4。</x:v>
      </x:c>
      <x:c r="L103" s="3" t="str">
        <x:v>/Users/yuntzuyu/Downloads/e-loan/Quarter/e-Loan YQYQ-CROX Q2.xls</x:v>
      </x:c>
    </x:row>
    <x:row r="104" ht="25" customHeight="1">
      <x:c r="A104" s="3" t="str">
        <x:v>CROCS, INC.</x:v>
      </x:c>
      <x:c r="B104" s="3" t="str">
        <x:v>2024-01-01~2024-12-31</x:v>
      </x:c>
      <x:c r="C104" s="3" t="str">
        <x:v>2024-12-31</x:v>
      </x:c>
      <x:c r="D104" s="3" t="str">
        <x:v>Total leverage ratio</x:v>
      </x:c>
      <x:c r="E104" s="8" t="n">
        <x:f>'計算底稿'!Q14</x:f>
        <x:v>1.2382789951995479</x:v>
      </x:c>
      <x:c r="F104" s="3" t="str">
        <x:v>倍</x:v>
      </x:c>
      <x:c r="G104" s="3" t="str">
        <x:v>推算值／非契約倍數</x:v>
      </x:c>
      <x:c r="H104" s="3" t="str">
        <x:v>Report1!D41, Report1!D43, Report1!D55, Report1!D56, Report1!D111, Report1!D106, Report1!D121</x:v>
      </x:c>
      <x:c r="I104" s="3" t="str">
        <x:v>期末列示債務合計÷LTM EBITDA</x:v>
      </x:c>
      <x:c r="J104" s="3" t="str">
        <x:v>計算底稿!Q14</x:v>
      </x:c>
      <x:c r="K104" s="3" t="str">
        <x:v>未扣現金；不含未辨識租賃；EBITDA≤0時標示不具意義。</x:v>
      </x:c>
      <x:c r="L104" s="3" t="str">
        <x:v>/Users/yuntzuyu/Downloads/e-loan/Quarter/e-Loan YQYQ-CROX Q2.xls</x:v>
      </x:c>
    </x:row>
    <x:row r="105" ht="25" customHeight="1">
      <x:c r="A105" s="3" t="str">
        <x:v>CROCS, INC.</x:v>
      </x:c>
      <x:c r="B105" s="3" t="str">
        <x:v>2025-01-01~2025-06-30</x:v>
      </x:c>
      <x:c r="C105" s="3" t="str">
        <x:v>2025-06-30</x:v>
      </x:c>
      <x:c r="D105" s="3" t="str">
        <x:v>Cost of revenues</x:v>
      </x:c>
      <x:c r="E105" s="6" t="n">
        <x:f>'計算底稿'!F15</x:f>
        <x:v>836321</x:v>
      </x:c>
      <x:c r="F105" s="3" t="str">
        <x:v>USD  thousand</x:v>
      </x:c>
      <x:c r="G105" s="3" t="str">
        <x:v>原始報表數字</x:v>
      </x:c>
      <x:c r="H105" s="3" t="str">
        <x:v>Report1!I86</x:v>
      </x:c>
      <x:c r="I105" s="3" t="str">
        <x:v>營收−毛利（驗算）</x:v>
      </x:c>
      <x:c r="J105" s="3" t="str">
        <x:v>計算底稿!F15</x:v>
      </x:c>
      <x:c r="K105" s="3" t="str">
        <x:v>對應Operating Cost/COGS；缺成本細項。</x:v>
      </x:c>
      <x:c r="L105" s="3" t="str">
        <x:v>/Users/yuntzuyu/Downloads/e-loan/Quarter/e-Loan YQYQ-CROX Q2.xls</x:v>
      </x:c>
    </x:row>
    <x:row r="106" ht="25" customHeight="1">
      <x:c r="A106" s="3" t="str">
        <x:v>CROCS, INC.</x:v>
      </x:c>
      <x:c r="B106" s="3" t="str">
        <x:v>2025-01-01~2025-06-30</x:v>
      </x:c>
      <x:c r="C106" s="3" t="str">
        <x:v>2025-06-30</x:v>
      </x:c>
      <x:c r="D106" s="3" t="str">
        <x:v>Gross profit</x:v>
      </x:c>
      <x:c r="E106" s="6" t="n">
        <x:f>'計算底稿'!G15</x:f>
        <x:v>1250385</x:v>
      </x:c>
      <x:c r="F106" s="3" t="str">
        <x:v>USD  thousand</x:v>
      </x:c>
      <x:c r="G106" s="3" t="str">
        <x:v>原始報表數字</x:v>
      </x:c>
      <x:c r="H106" s="3" t="str">
        <x:v>Report1!I94, Report1!I80, Report1!I86</x:v>
      </x:c>
      <x:c r="I106" s="3" t="str">
        <x:v>營收−營收成本</x:v>
      </x:c>
      <x:c r="J106" s="3" t="str">
        <x:v>計算底稿!G15</x:v>
      </x:c>
      <x:c r="K106" s="3" t="str">
        <x:v>原值與驗算一致。</x:v>
      </x:c>
      <x:c r="L106" s="3" t="str">
        <x:v>/Users/yuntzuyu/Downloads/e-loan/Quarter/e-Loan YQYQ-CROX Q2.xls</x:v>
      </x:c>
    </x:row>
    <x:row r="107" ht="25" customHeight="1">
      <x:c r="A107" s="3" t="str">
        <x:v>CROCS, INC.</x:v>
      </x:c>
      <x:c r="B107" s="3" t="str">
        <x:v>2025-01-01~2025-06-30</x:v>
      </x:c>
      <x:c r="C107" s="3" t="str">
        <x:v>2025-06-30</x:v>
      </x:c>
      <x:c r="D107" s="3" t="str">
        <x:v>Operating expense</x:v>
      </x:c>
      <x:c r="E107" s="6" t="n">
        <x:f>'計算底稿'!H15</x:f>
        <x:v>1454927</x:v>
      </x:c>
      <x:c r="F107" s="3" t="str">
        <x:v>USD  thousand</x:v>
      </x:c>
      <x:c r="G107" s="3" t="str">
        <x:v>原始報表數字</x:v>
      </x:c>
      <x:c r="H107" s="3" t="str">
        <x:v>Report1!I96, Report1!I94, Report1!I97</x:v>
      </x:c>
      <x:c r="I107" s="3" t="str">
        <x:v>毛利−營業利益（驗算）</x:v>
      </x:c>
      <x:c r="J107" s="3" t="str">
        <x:v>計算底稿!H15</x:v>
      </x:c>
      <x:c r="K107" s="3" t="str">
        <x:v>缺銷管、研發、減損等細分。</x:v>
      </x:c>
      <x:c r="L107" s="3" t="str">
        <x:v>/Users/yuntzuyu/Downloads/e-loan/Quarter/e-Loan YQYQ-CROX Q2.xls</x:v>
      </x:c>
    </x:row>
    <x:row r="108" ht="25" customHeight="1">
      <x:c r="A108" s="3" t="str">
        <x:v>CROCS, INC.</x:v>
      </x:c>
      <x:c r="B108" s="3" t="str">
        <x:v>2025-01-01~2025-06-30</x:v>
      </x:c>
      <x:c r="C108" s="3" t="str">
        <x:v>2025-06-30</x:v>
      </x:c>
      <x:c r="D108" s="3" t="str">
        <x:v>Interest expense</x:v>
      </x:c>
      <x:c r="E108" s="6" t="n">
        <x:f>'計算底稿'!I15</x:f>
        <x:v>45289</x:v>
      </x:c>
      <x:c r="F108" s="3" t="str">
        <x:v>USD  thousand</x:v>
      </x:c>
      <x:c r="G108" s="3" t="str">
        <x:v>原始報表數字</x:v>
      </x:c>
      <x:c r="H108" s="3" t="str">
        <x:v>Report1!I106</x:v>
      </x:c>
      <x:c r="I108" s="3" t="str">
        <x:v>直接取原報表第106列</x:v>
      </x:c>
      <x:c r="J108" s="3" t="str">
        <x:v>計算底稿!I15</x:v>
      </x:c>
      <x:c r="K108" s="3" t="str">
        <x:v>屬應計費用；不是現金付息，也不以期末債務×利率替代。</x:v>
      </x:c>
      <x:c r="L108" s="3" t="str">
        <x:v>/Users/yuntzuyu/Downloads/e-loan/Quarter/e-Loan YQYQ-CROX Q2.xls</x:v>
      </x:c>
    </x:row>
    <x:row r="109" ht="25" customHeight="1">
      <x:c r="A109" s="3" t="str">
        <x:v>CROCS, INC.</x:v>
      </x:c>
      <x:c r="B109" s="3" t="str">
        <x:v>2025-01-01~2025-06-30</x:v>
      </x:c>
      <x:c r="C109" s="3" t="str">
        <x:v>2025-06-30</x:v>
      </x:c>
      <x:c r="D109" s="3" t="str">
        <x:v>Quick ratio</x:v>
      </x:c>
      <x:c r="E109" s="7" t="n">
        <x:f>'計算底稿'!J15</x:f>
        <x:v>0.8645999999999999</x:v>
      </x:c>
      <x:c r="F109" s="3" t="str">
        <x:v>%</x:v>
      </x:c>
      <x:c r="G109" s="3" t="str">
        <x:v>原始報表數字</x:v>
      </x:c>
      <x:c r="H109" s="3" t="str">
        <x:v>Report1!I198, Report1!I11, Report1!I12, Report1!I13, Report1!I40</x:v>
      </x:c>
      <x:c r="I109" s="3" t="str">
        <x:v>(現金＋流動金融資產＋應收款項)÷流動負債</x:v>
      </x:c>
      <x:c r="J109" s="3" t="str">
        <x:v>計算底稿!J15</x:v>
      </x:c>
      <x:c r="K109" s="3" t="str">
        <x:v>原值為百分比；非直接以流動資產扣存貨。</x:v>
      </x:c>
      <x:c r="L109" s="3" t="str">
        <x:v>/Users/yuntzuyu/Downloads/e-loan/Quarter/e-Loan YQYQ-CROX Q2.xls</x:v>
      </x:c>
    </x:row>
    <x:row r="110" ht="25" customHeight="1">
      <x:c r="A110" s="3" t="str">
        <x:v>CROCS, INC.</x:v>
      </x:c>
      <x:c r="B110" s="3" t="str">
        <x:v>2025-01-01~2025-06-30</x:v>
      </x:c>
      <x:c r="C110" s="3" t="str">
        <x:v>2025-06-30</x:v>
      </x:c>
      <x:c r="D110" s="3" t="str">
        <x:v>Debt ratio</x:v>
      </x:c>
      <x:c r="E110" s="7" t="n">
        <x:f>'計算底稿'!K15</x:f>
        <x:v>2.1317</x:v>
      </x:c>
      <x:c r="F110" s="3" t="str">
        <x:v>%</x:v>
      </x:c>
      <x:c r="G110" s="3" t="str">
        <x:v>原始報表數字</x:v>
      </x:c>
      <x:c r="H110" s="3" t="str">
        <x:v>Report1!I203, Report1!I62, Report1!I70</x:v>
      </x:c>
      <x:c r="I110" s="3" t="str">
        <x:v>總負債÷淨值</x:v>
      </x:c>
      <x:c r="J110" s="3" t="str">
        <x:v>計算底稿!K15</x:v>
      </x:c>
      <x:c r="K110" s="3" t="str">
        <x:v>實際為負債淨值比；非負債資產比，亦非有息債務比。</x:v>
      </x:c>
      <x:c r="L110" s="3" t="str">
        <x:v>/Users/yuntzuyu/Downloads/e-loan/Quarter/e-Loan YQYQ-CROX Q2.xls</x:v>
      </x:c>
    </x:row>
    <x:row r="111" ht="25" customHeight="1">
      <x:c r="A111" s="3" t="str">
        <x:v>CROCS, INC.</x:v>
      </x:c>
      <x:c r="B111" s="3" t="str">
        <x:v>2025-01-01~2025-06-30</x:v>
      </x:c>
      <x:c r="C111" s="3" t="str">
        <x:v>2025-06-30</x:v>
      </x:c>
      <x:c r="D111" s="3" t="str">
        <x:v>Total debt</x:v>
      </x:c>
      <x:c r="E111" s="6" t="n">
        <x:f>'計算底稿'!L15</x:f>
        <x:v>1379112</x:v>
      </x:c>
      <x:c r="F111" s="3" t="str">
        <x:v>USD  thousand</x:v>
      </x:c>
      <x:c r="G111" s="3" t="str">
        <x:v>推算值／列示項目小計</x:v>
      </x:c>
      <x:c r="H111" s="3" t="str">
        <x:v>Report1!I41, Report1!I43, Report1!I55, Report1!I56</x:v>
      </x:c>
      <x:c r="I111" s="3" t="str">
        <x:v>短期借款＋一年內到期長債＋長期銀行借款＋公司債</x:v>
      </x:c>
      <x:c r="J111" s="3" t="str">
        <x:v>計算底稿!L15</x:v>
      </x:c>
      <x:c r="K111" s="3" t="str">
        <x:v>空白項未計入；租賃等未另加，非契約確認總債務。</x:v>
      </x:c>
      <x:c r="L111" s="3" t="str">
        <x:v>/Users/yuntzuyu/Downloads/e-loan/Quarter/e-Loan YQYQ-CROX Q2.xls</x:v>
      </x:c>
    </x:row>
    <x:row r="112" ht="25" customHeight="1">
      <x:c r="A112" s="3" t="str">
        <x:v>CROCS, INC.</x:v>
      </x:c>
      <x:c r="B112" s="3" t="str">
        <x:v>2025-01-01~2025-06-30</x:v>
      </x:c>
      <x:c r="C112" s="3" t="str">
        <x:v>2025-06-30</x:v>
      </x:c>
      <x:c r="D112" s="3" t="str">
        <x:v>EBITDA（報表口徑）</x:v>
      </x:c>
      <x:c r="E112" s="6" t="n">
        <x:f>'計算底稿'!M15</x:f>
        <x:v>-180146</x:v>
      </x:c>
      <x:c r="F112" s="3" t="str">
        <x:v>USD  thousand</x:v>
      </x:c>
      <x:c r="G112" s="3" t="str">
        <x:v>推算值</x:v>
      </x:c>
      <x:c r="H112" s="3" t="str">
        <x:v>Report1!I111, Report1!I106, Report1!I121, Report1!I201</x:v>
      </x:c>
      <x:c r="I112" s="3" t="str">
        <x:v>稅前損益＋利息費用＋折舊攤銷</x:v>
      </x:c>
      <x:c r="J112" s="3" t="str">
        <x:v>計算底稿!M15</x:v>
      </x:c>
      <x:c r="K112" s="3" t="str">
        <x:v>可重現原表EBITDA/Interest；含業外損益。</x:v>
      </x:c>
      <x:c r="L112" s="3" t="str">
        <x:v>/Users/yuntzuyu/Downloads/e-loan/Quarter/e-Loan YQYQ-CROX Q2.xls</x:v>
      </x:c>
    </x:row>
    <x:row r="113" ht="25" customHeight="1">
      <x:c r="A113" s="3" t="str">
        <x:v>CROCS, INC.</x:v>
      </x:c>
      <x:c r="B113" s="3" t="str">
        <x:v>2025-01-01~2025-06-30</x:v>
      </x:c>
      <x:c r="C113" s="3" t="str">
        <x:v>2025-06-30</x:v>
      </x:c>
      <x:c r="D113" s="3" t="str">
        <x:v>EBITDA basis</x:v>
      </x:c>
      <x:c r="E113" s="3" t="str">
        <x:v>稅前損益＋利息＋折舊攤銷</x:v>
      </x:c>
      <x:c r="F113" s="3" t="str">
        <x:v>文字</x:v>
      </x:c>
      <x:c r="G113" s="3" t="str">
        <x:v>口徑說明</x:v>
      </x:c>
      <x:c r="H113" s="3" t="str">
        <x:v>Report1!I111, Report1!I106, Report1!I121</x:v>
      </x:c>
      <x:c r="I113" s="3" t="str">
        <x:v>稅前損益＋利息費用＋折舊攤銷</x:v>
      </x:c>
      <x:c r="J113" s="3" t="str">
        <x:v>計算底稿!M15</x:v>
      </x:c>
      <x:c r="K113" s="3" t="str">
        <x:v>本列為文字定義；不代表Adjusted或契約EBITDA。</x:v>
      </x:c>
      <x:c r="L113" s="3" t="str">
        <x:v>/Users/yuntzuyu/Downloads/e-loan/Quarter/e-Loan YQYQ-CROX Q2.xls</x:v>
      </x:c>
    </x:row>
    <x:row r="114" ht="25" customHeight="1">
      <x:c r="A114" s="3" t="str">
        <x:v>CROCS, INC.</x:v>
      </x:c>
      <x:c r="B114" s="3" t="str">
        <x:v>2025-01-01~2025-06-30</x:v>
      </x:c>
      <x:c r="C114" s="3" t="str">
        <x:v>2025-06-30</x:v>
      </x:c>
      <x:c r="D114" s="3" t="str">
        <x:v>LTM EBITDA</x:v>
      </x:c>
      <x:c r="E114" s="6" t="str">
        <x:f>'計算底稿'!P15</x:f>
        <x:v>資料不足</x:v>
      </x:c>
      <x:c r="F114" s="3" t="str">
        <x:v>USD  thousand</x:v>
      </x:c>
      <x:c r="G114" s="3" t="str">
        <x:v>推算值</x:v>
      </x:c>
      <x:c r="H114" s="3" t="str">
        <x:v>Report1!I111, Report1!I106, Report1!I121</x:v>
      </x:c>
      <x:c r="I114" s="3" t="str">
        <x:v>全年：當年EBITDA；期中：前全年＋本YTD−前YTD</x:v>
      </x:c>
      <x:c r="J114" s="3" t="str">
        <x:v>計算底稿!P15</x:v>
      </x:c>
      <x:c r="K114" s="3" t="str">
        <x:v>期中缺前同期則資料不足；不採YTD×2或×4。</x:v>
      </x:c>
      <x:c r="L114" s="3" t="str">
        <x:v>/Users/yuntzuyu/Downloads/e-loan/Quarter/e-Loan YQYQ-CROX Q2.xls</x:v>
      </x:c>
    </x:row>
    <x:row r="115" ht="25" customHeight="1">
      <x:c r="A115" s="3" t="str">
        <x:v>CROCS, INC.</x:v>
      </x:c>
      <x:c r="B115" s="3" t="str">
        <x:v>2025-01-01~2025-06-30</x:v>
      </x:c>
      <x:c r="C115" s="3" t="str">
        <x:v>2025-06-30</x:v>
      </x:c>
      <x:c r="D115" s="3" t="str">
        <x:v>Total leverage ratio</x:v>
      </x:c>
      <x:c r="E115" s="8" t="str">
        <x:f>'計算底稿'!Q15</x:f>
        <x:v>資料不足</x:v>
      </x:c>
      <x:c r="F115" s="3" t="str">
        <x:v>倍</x:v>
      </x:c>
      <x:c r="G115" s="3" t="str">
        <x:v>推算值／非契約倍數</x:v>
      </x:c>
      <x:c r="H115" s="3" t="str">
        <x:v>Report1!I41, Report1!I43, Report1!I55, Report1!I56, Report1!I111, Report1!I106, Report1!I121</x:v>
      </x:c>
      <x:c r="I115" s="3" t="str">
        <x:v>期末列示債務合計÷LTM EBITDA</x:v>
      </x:c>
      <x:c r="J115" s="3" t="str">
        <x:v>計算底稿!Q15</x:v>
      </x:c>
      <x:c r="K115" s="3" t="str">
        <x:v>未扣現金；不含未辨識租賃；EBITDA≤0時標示不具意義。</x:v>
      </x:c>
      <x:c r="L115" s="3" t="str">
        <x:v>/Users/yuntzuyu/Downloads/e-loan/Quarter/e-Loan YQYQ-CROX Q2.xls</x:v>
      </x:c>
    </x:row>
    <x:row r="116" ht="25" customHeight="1">
      <x:c r="A116" s="3" t="str">
        <x:v>CROCS, INC.</x:v>
      </x:c>
      <x:c r="B116" s="3" t="str">
        <x:v>2025-01-01~2025-12-31</x:v>
      </x:c>
      <x:c r="C116" s="3" t="str">
        <x:v>2025-12-31</x:v>
      </x:c>
      <x:c r="D116" s="3" t="str">
        <x:v>Cost of revenues</x:v>
      </x:c>
      <x:c r="E116" s="6" t="n">
        <x:f>'計算底稿'!F16</x:f>
        <x:v>1683592</x:v>
      </x:c>
      <x:c r="F116" s="3" t="str">
        <x:v>USD  thousand</x:v>
      </x:c>
      <x:c r="G116" s="3" t="str">
        <x:v>原始報表數字</x:v>
      </x:c>
      <x:c r="H116" s="3" t="str">
        <x:v>Report1!M86</x:v>
      </x:c>
      <x:c r="I116" s="3" t="str">
        <x:v>營收−毛利（驗算）</x:v>
      </x:c>
      <x:c r="J116" s="3" t="str">
        <x:v>計算底稿!F16</x:v>
      </x:c>
      <x:c r="K116" s="3" t="str">
        <x:v>對應Operating Cost/COGS；缺成本細項。</x:v>
      </x:c>
      <x:c r="L116" s="3" t="str">
        <x:v>/Users/yuntzuyu/Downloads/e-loan/Quarter/e-Loan YQYQ-CROX Q2.xls</x:v>
      </x:c>
    </x:row>
    <x:row r="117" ht="25" customHeight="1">
      <x:c r="A117" s="3" t="str">
        <x:v>CROCS, INC.</x:v>
      </x:c>
      <x:c r="B117" s="3" t="str">
        <x:v>2025-01-01~2025-12-31</x:v>
      </x:c>
      <x:c r="C117" s="3" t="str">
        <x:v>2025-12-31</x:v>
      </x:c>
      <x:c r="D117" s="3" t="str">
        <x:v>Gross profit</x:v>
      </x:c>
      <x:c r="E117" s="6" t="n">
        <x:f>'計算底稿'!G16</x:f>
        <x:v>2357055</x:v>
      </x:c>
      <x:c r="F117" s="3" t="str">
        <x:v>USD  thousand</x:v>
      </x:c>
      <x:c r="G117" s="3" t="str">
        <x:v>原始報表數字</x:v>
      </x:c>
      <x:c r="H117" s="3" t="str">
        <x:v>Report1!M94, Report1!M80, Report1!M86</x:v>
      </x:c>
      <x:c r="I117" s="3" t="str">
        <x:v>營收−營收成本</x:v>
      </x:c>
      <x:c r="J117" s="3" t="str">
        <x:v>計算底稿!G16</x:v>
      </x:c>
      <x:c r="K117" s="3" t="str">
        <x:v>原值與驗算一致。</x:v>
      </x:c>
      <x:c r="L117" s="3" t="str">
        <x:v>/Users/yuntzuyu/Downloads/e-loan/Quarter/e-Loan YQYQ-CROX Q2.xls</x:v>
      </x:c>
    </x:row>
    <x:row r="118" ht="25" customHeight="1">
      <x:c r="A118" s="3" t="str">
        <x:v>CROCS, INC.</x:v>
      </x:c>
      <x:c r="B118" s="3" t="str">
        <x:v>2025-01-01~2025-12-31</x:v>
      </x:c>
      <x:c r="C118" s="3" t="str">
        <x:v>2025-12-31</x:v>
      </x:c>
      <x:c r="D118" s="3" t="str">
        <x:v>Operating expense</x:v>
      </x:c>
      <x:c r="E118" s="6" t="n">
        <x:f>'計算底稿'!H16</x:f>
        <x:v>2207540</x:v>
      </x:c>
      <x:c r="F118" s="3" t="str">
        <x:v>USD  thousand</x:v>
      </x:c>
      <x:c r="G118" s="3" t="str">
        <x:v>原始報表數字</x:v>
      </x:c>
      <x:c r="H118" s="3" t="str">
        <x:v>Report1!M96, Report1!M94, Report1!M97</x:v>
      </x:c>
      <x:c r="I118" s="3" t="str">
        <x:v>毛利−營業利益（驗算）</x:v>
      </x:c>
      <x:c r="J118" s="3" t="str">
        <x:v>計算底稿!H16</x:v>
      </x:c>
      <x:c r="K118" s="3" t="str">
        <x:v>缺銷管、研發、減損等細分。</x:v>
      </x:c>
      <x:c r="L118" s="3" t="str">
        <x:v>/Users/yuntzuyu/Downloads/e-loan/Quarter/e-Loan YQYQ-CROX Q2.xls</x:v>
      </x:c>
    </x:row>
    <x:row r="119" ht="25" customHeight="1">
      <x:c r="A119" s="3" t="str">
        <x:v>CROCS, INC.</x:v>
      </x:c>
      <x:c r="B119" s="3" t="str">
        <x:v>2025-01-01~2025-12-31</x:v>
      </x:c>
      <x:c r="C119" s="3" t="str">
        <x:v>2025-12-31</x:v>
      </x:c>
      <x:c r="D119" s="3" t="str">
        <x:v>Interest expense</x:v>
      </x:c>
      <x:c r="E119" s="6" t="n">
        <x:f>'計算底稿'!I16</x:f>
        <x:v>88287</x:v>
      </x:c>
      <x:c r="F119" s="3" t="str">
        <x:v>USD  thousand</x:v>
      </x:c>
      <x:c r="G119" s="3" t="str">
        <x:v>原始報表數字</x:v>
      </x:c>
      <x:c r="H119" s="3" t="str">
        <x:v>Report1!M106</x:v>
      </x:c>
      <x:c r="I119" s="3" t="str">
        <x:v>直接取原報表第106列</x:v>
      </x:c>
      <x:c r="J119" s="3" t="str">
        <x:v>計算底稿!I16</x:v>
      </x:c>
      <x:c r="K119" s="3" t="str">
        <x:v>屬應計費用；不是現金付息，也不以期末債務×利率替代。</x:v>
      </x:c>
      <x:c r="L119" s="3" t="str">
        <x:v>/Users/yuntzuyu/Downloads/e-loan/Quarter/e-Loan YQYQ-CROX Q2.xls</x:v>
      </x:c>
    </x:row>
    <x:row r="120" ht="25" customHeight="1">
      <x:c r="A120" s="3" t="str">
        <x:v>CROCS, INC.</x:v>
      </x:c>
      <x:c r="B120" s="3" t="str">
        <x:v>2025-01-01~2025-12-31</x:v>
      </x:c>
      <x:c r="C120" s="3" t="str">
        <x:v>2025-12-31</x:v>
      </x:c>
      <x:c r="D120" s="3" t="str">
        <x:v>Quick ratio</x:v>
      </x:c>
      <x:c r="E120" s="7" t="n">
        <x:f>'計算底稿'!J16</x:f>
        <x:v>0.5835</x:v>
      </x:c>
      <x:c r="F120" s="3" t="str">
        <x:v>%</x:v>
      </x:c>
      <x:c r="G120" s="3" t="str">
        <x:v>原始報表數字</x:v>
      </x:c>
      <x:c r="H120" s="3" t="str">
        <x:v>Report1!M198, Report1!M11, Report1!M12, Report1!M13, Report1!M40</x:v>
      </x:c>
      <x:c r="I120" s="3" t="str">
        <x:v>(現金＋流動金融資產＋應收款項)÷流動負債</x:v>
      </x:c>
      <x:c r="J120" s="3" t="str">
        <x:v>計算底稿!J16</x:v>
      </x:c>
      <x:c r="K120" s="3" t="str">
        <x:v>原值為百分比；非直接以流動資產扣存貨。</x:v>
      </x:c>
      <x:c r="L120" s="3" t="str">
        <x:v>/Users/yuntzuyu/Downloads/e-loan/Quarter/e-Loan YQYQ-CROX Q2.xls</x:v>
      </x:c>
    </x:row>
    <x:row r="121" ht="25" customHeight="1">
      <x:c r="A121" s="3" t="str">
        <x:v>CROCS, INC.</x:v>
      </x:c>
      <x:c r="B121" s="3" t="str">
        <x:v>2025-01-01~2025-12-31</x:v>
      </x:c>
      <x:c r="C121" s="3" t="str">
        <x:v>2025-12-31</x:v>
      </x:c>
      <x:c r="D121" s="3" t="str">
        <x:v>Debt ratio</x:v>
      </x:c>
      <x:c r="E121" s="7" t="n">
        <x:f>'計算底稿'!K16</x:f>
        <x:v>2.228</x:v>
      </x:c>
      <x:c r="F121" s="3" t="str">
        <x:v>%</x:v>
      </x:c>
      <x:c r="G121" s="3" t="str">
        <x:v>原始報表數字</x:v>
      </x:c>
      <x:c r="H121" s="3" t="str">
        <x:v>Report1!M203, Report1!M62, Report1!M70</x:v>
      </x:c>
      <x:c r="I121" s="3" t="str">
        <x:v>總負債÷淨值</x:v>
      </x:c>
      <x:c r="J121" s="3" t="str">
        <x:v>計算底稿!K16</x:v>
      </x:c>
      <x:c r="K121" s="3" t="str">
        <x:v>實際為負債淨值比；非負債資產比，亦非有息債務比。</x:v>
      </x:c>
      <x:c r="L121" s="3" t="str">
        <x:v>/Users/yuntzuyu/Downloads/e-loan/Quarter/e-Loan YQYQ-CROX Q2.xls</x:v>
      </x:c>
    </x:row>
    <x:row r="122" ht="25" customHeight="1">
      <x:c r="A122" s="3" t="str">
        <x:v>CROCS, INC.</x:v>
      </x:c>
      <x:c r="B122" s="3" t="str">
        <x:v>2025-01-01~2025-12-31</x:v>
      </x:c>
      <x:c r="C122" s="3" t="str">
        <x:v>2025-12-31</x:v>
      </x:c>
      <x:c r="D122" s="3" t="str">
        <x:v>Total debt</x:v>
      </x:c>
      <x:c r="E122" s="6" t="n">
        <x:f>'計算底稿'!L16</x:f>
        <x:v>1230885</x:v>
      </x:c>
      <x:c r="F122" s="3" t="str">
        <x:v>USD  thousand</x:v>
      </x:c>
      <x:c r="G122" s="3" t="str">
        <x:v>推算值／列示項目小計</x:v>
      </x:c>
      <x:c r="H122" s="3" t="str">
        <x:v>Report1!M41, Report1!M43, Report1!M55, Report1!M56</x:v>
      </x:c>
      <x:c r="I122" s="3" t="str">
        <x:v>短期借款＋一年內到期長債＋長期銀行借款＋公司債</x:v>
      </x:c>
      <x:c r="J122" s="3" t="str">
        <x:v>計算底稿!L16</x:v>
      </x:c>
      <x:c r="K122" s="3" t="str">
        <x:v>空白項未計入；租賃等未另加，非契約確認總債務。</x:v>
      </x:c>
      <x:c r="L122" s="3" t="str">
        <x:v>/Users/yuntzuyu/Downloads/e-loan/Quarter/e-Loan YQYQ-CROX Q2.xls</x:v>
      </x:c>
    </x:row>
    <x:row r="123" ht="25" customHeight="1">
      <x:c r="A123" s="3" t="str">
        <x:v>CROCS, INC.</x:v>
      </x:c>
      <x:c r="B123" s="3" t="str">
        <x:v>2025-01-01~2025-12-31</x:v>
      </x:c>
      <x:c r="C123" s="3" t="str">
        <x:v>2025-12-31</x:v>
      </x:c>
      <x:c r="D123" s="3" t="str">
        <x:v>EBITDA（報表口徑）</x:v>
      </x:c>
      <x:c r="E123" s="6" t="n">
        <x:f>'計算底稿'!M16</x:f>
        <x:v>240547</x:v>
      </x:c>
      <x:c r="F123" s="3" t="str">
        <x:v>USD  thousand</x:v>
      </x:c>
      <x:c r="G123" s="3" t="str">
        <x:v>推算值</x:v>
      </x:c>
      <x:c r="H123" s="3" t="str">
        <x:v>Report1!M111, Report1!M106, Report1!M121, Report1!M201</x:v>
      </x:c>
      <x:c r="I123" s="3" t="str">
        <x:v>稅前損益＋利息費用＋折舊攤銷</x:v>
      </x:c>
      <x:c r="J123" s="3" t="str">
        <x:v>計算底稿!M16</x:v>
      </x:c>
      <x:c r="K123" s="3" t="str">
        <x:v>可重現原表EBITDA/Interest；含業外損益。</x:v>
      </x:c>
      <x:c r="L123" s="3" t="str">
        <x:v>/Users/yuntzuyu/Downloads/e-loan/Quarter/e-Loan YQYQ-CROX Q2.xls</x:v>
      </x:c>
    </x:row>
    <x:row r="124" ht="25" customHeight="1">
      <x:c r="A124" s="3" t="str">
        <x:v>CROCS, INC.</x:v>
      </x:c>
      <x:c r="B124" s="3" t="str">
        <x:v>2025-01-01~2025-12-31</x:v>
      </x:c>
      <x:c r="C124" s="3" t="str">
        <x:v>2025-12-31</x:v>
      </x:c>
      <x:c r="D124" s="3" t="str">
        <x:v>EBITDA basis</x:v>
      </x:c>
      <x:c r="E124" s="3" t="str">
        <x:v>稅前損益＋利息＋折舊攤銷</x:v>
      </x:c>
      <x:c r="F124" s="3" t="str">
        <x:v>文字</x:v>
      </x:c>
      <x:c r="G124" s="3" t="str">
        <x:v>口徑說明</x:v>
      </x:c>
      <x:c r="H124" s="3" t="str">
        <x:v>Report1!M111, Report1!M106, Report1!M121</x:v>
      </x:c>
      <x:c r="I124" s="3" t="str">
        <x:v>稅前損益＋利息費用＋折舊攤銷</x:v>
      </x:c>
      <x:c r="J124" s="3" t="str">
        <x:v>計算底稿!M16</x:v>
      </x:c>
      <x:c r="K124" s="3" t="str">
        <x:v>本列為文字定義；不代表Adjusted或契約EBITDA。</x:v>
      </x:c>
      <x:c r="L124" s="3" t="str">
        <x:v>/Users/yuntzuyu/Downloads/e-loan/Quarter/e-Loan YQYQ-CROX Q2.xls</x:v>
      </x:c>
    </x:row>
    <x:row r="125" ht="25" customHeight="1">
      <x:c r="A125" s="3" t="str">
        <x:v>CROCS, INC.</x:v>
      </x:c>
      <x:c r="B125" s="3" t="str">
        <x:v>2025-01-01~2025-12-31</x:v>
      </x:c>
      <x:c r="C125" s="3" t="str">
        <x:v>2025-12-31</x:v>
      </x:c>
      <x:c r="D125" s="3" t="str">
        <x:v>LTM EBITDA</x:v>
      </x:c>
      <x:c r="E125" s="6" t="n">
        <x:f>'計算底稿'!P16</x:f>
        <x:v>240547</x:v>
      </x:c>
      <x:c r="F125" s="3" t="str">
        <x:v>USD  thousand</x:v>
      </x:c>
      <x:c r="G125" s="3" t="str">
        <x:v>推算值</x:v>
      </x:c>
      <x:c r="H125" s="3" t="str">
        <x:v>Report1!M111, Report1!M106, Report1!M121</x:v>
      </x:c>
      <x:c r="I125" s="3" t="str">
        <x:v>全年：當年EBITDA；期中：前全年＋本YTD−前YTD</x:v>
      </x:c>
      <x:c r="J125" s="3" t="str">
        <x:v>計算底稿!P16</x:v>
      </x:c>
      <x:c r="K125" s="3" t="str">
        <x:v>期中缺前同期則資料不足；不採YTD×2或×4。</x:v>
      </x:c>
      <x:c r="L125" s="3" t="str">
        <x:v>/Users/yuntzuyu/Downloads/e-loan/Quarter/e-Loan YQYQ-CROX Q2.xls</x:v>
      </x:c>
    </x:row>
    <x:row r="126" ht="25" customHeight="1">
      <x:c r="A126" s="3" t="str">
        <x:v>CROCS, INC.</x:v>
      </x:c>
      <x:c r="B126" s="3" t="str">
        <x:v>2025-01-01~2025-12-31</x:v>
      </x:c>
      <x:c r="C126" s="3" t="str">
        <x:v>2025-12-31</x:v>
      </x:c>
      <x:c r="D126" s="3" t="str">
        <x:v>Total leverage ratio</x:v>
      </x:c>
      <x:c r="E126" s="8" t="n">
        <x:f>'計算底稿'!Q16</x:f>
        <x:v>5.117024947307595</x:v>
      </x:c>
      <x:c r="F126" s="3" t="str">
        <x:v>倍</x:v>
      </x:c>
      <x:c r="G126" s="3" t="str">
        <x:v>推算值／非契約倍數</x:v>
      </x:c>
      <x:c r="H126" s="3" t="str">
        <x:v>Report1!M41, Report1!M43, Report1!M55, Report1!M56, Report1!M111, Report1!M106, Report1!M121</x:v>
      </x:c>
      <x:c r="I126" s="3" t="str">
        <x:v>期末列示債務合計÷LTM EBITDA</x:v>
      </x:c>
      <x:c r="J126" s="3" t="str">
        <x:v>計算底稿!Q16</x:v>
      </x:c>
      <x:c r="K126" s="3" t="str">
        <x:v>未扣現金；不含未辨識租賃；EBITDA≤0時標示不具意義。</x:v>
      </x:c>
      <x:c r="L126" s="3" t="str">
        <x:v>/Users/yuntzuyu/Downloads/e-loan/Quarter/e-Loan YQYQ-CROX Q2.xls</x:v>
      </x:c>
    </x:row>
    <x:row r="127" ht="25" customHeight="1">
      <x:c r="A127" s="3" t="str">
        <x:v>CROCS, INC.</x:v>
      </x:c>
      <x:c r="B127" s="3" t="str">
        <x:v>2026-01-01~2026-06-30</x:v>
      </x:c>
      <x:c r="C127" s="3" t="str">
        <x:v>2026-06-30</x:v>
      </x:c>
      <x:c r="D127" s="3" t="str">
        <x:v>Cost of revenues</x:v>
      </x:c>
      <x:c r="E127" s="6" t="n">
        <x:f>'計算底稿'!F17</x:f>
        <x:v>877273</x:v>
      </x:c>
      <x:c r="F127" s="3" t="str">
        <x:v>USD  thousand</x:v>
      </x:c>
      <x:c r="G127" s="3" t="str">
        <x:v>原始報表數字</x:v>
      </x:c>
      <x:c r="H127" s="3" t="str">
        <x:v>Report1!R86</x:v>
      </x:c>
      <x:c r="I127" s="3" t="str">
        <x:v>營收−毛利（驗算）</x:v>
      </x:c>
      <x:c r="J127" s="3" t="str">
        <x:v>計算底稿!F17</x:v>
      </x:c>
      <x:c r="K127" s="3" t="str">
        <x:v>對應Operating Cost/COGS；缺成本細項。</x:v>
      </x:c>
      <x:c r="L127" s="3" t="str">
        <x:v>/Users/yuntzuyu/Downloads/e-loan/Quarter/e-Loan YQYQ-CROX Q2.xls</x:v>
      </x:c>
    </x:row>
    <x:row r="128" ht="25" customHeight="1">
      <x:c r="A128" s="3" t="str">
        <x:v>CROCS, INC.</x:v>
      </x:c>
      <x:c r="B128" s="3" t="str">
        <x:v>2026-01-01~2026-06-30</x:v>
      </x:c>
      <x:c r="C128" s="3" t="str">
        <x:v>2026-06-30</x:v>
      </x:c>
      <x:c r="D128" s="3" t="str">
        <x:v>Gross profit</x:v>
      </x:c>
      <x:c r="E128" s="6" t="n">
        <x:f>'計算底稿'!G17</x:f>
        <x:v>1223652</x:v>
      </x:c>
      <x:c r="F128" s="3" t="str">
        <x:v>USD  thousand</x:v>
      </x:c>
      <x:c r="G128" s="3" t="str">
        <x:v>原始報表數字</x:v>
      </x:c>
      <x:c r="H128" s="3" t="str">
        <x:v>Report1!R94, Report1!R80, Report1!R86</x:v>
      </x:c>
      <x:c r="I128" s="3" t="str">
        <x:v>營收−營收成本</x:v>
      </x:c>
      <x:c r="J128" s="3" t="str">
        <x:v>計算底稿!G17</x:v>
      </x:c>
      <x:c r="K128" s="3" t="str">
        <x:v>原值與驗算一致。</x:v>
      </x:c>
      <x:c r="L128" s="3" t="str">
        <x:v>/Users/yuntzuyu/Downloads/e-loan/Quarter/e-Loan YQYQ-CROX Q2.xls</x:v>
      </x:c>
    </x:row>
    <x:row r="129" ht="25" customHeight="1">
      <x:c r="A129" s="3" t="str">
        <x:v>CROCS, INC.</x:v>
      </x:c>
      <x:c r="B129" s="3" t="str">
        <x:v>2026-01-01~2026-06-30</x:v>
      </x:c>
      <x:c r="C129" s="3" t="str">
        <x:v>2026-06-30</x:v>
      </x:c>
      <x:c r="D129" s="3" t="str">
        <x:v>Operating expense</x:v>
      </x:c>
      <x:c r="E129" s="6" t="n">
        <x:f>'計算底稿'!H17</x:f>
        <x:v>737130</x:v>
      </x:c>
      <x:c r="F129" s="3" t="str">
        <x:v>USD  thousand</x:v>
      </x:c>
      <x:c r="G129" s="3" t="str">
        <x:v>原始報表數字</x:v>
      </x:c>
      <x:c r="H129" s="3" t="str">
        <x:v>Report1!R96, Report1!R94, Report1!R97</x:v>
      </x:c>
      <x:c r="I129" s="3" t="str">
        <x:v>毛利−營業利益（驗算）</x:v>
      </x:c>
      <x:c r="J129" s="3" t="str">
        <x:v>計算底稿!H17</x:v>
      </x:c>
      <x:c r="K129" s="3" t="str">
        <x:v>缺銷管、研發、減損等細分。</x:v>
      </x:c>
      <x:c r="L129" s="3" t="str">
        <x:v>/Users/yuntzuyu/Downloads/e-loan/Quarter/e-Loan YQYQ-CROX Q2.xls</x:v>
      </x:c>
    </x:row>
    <x:row r="130" ht="25" customHeight="1">
      <x:c r="A130" s="3" t="str">
        <x:v>CROCS, INC.</x:v>
      </x:c>
      <x:c r="B130" s="3" t="str">
        <x:v>2026-01-01~2026-06-30</x:v>
      </x:c>
      <x:c r="C130" s="3" t="str">
        <x:v>2026-06-30</x:v>
      </x:c>
      <x:c r="D130" s="3" t="str">
        <x:v>Interest expense</x:v>
      </x:c>
      <x:c r="E130" s="6" t="n">
        <x:f>'計算底稿'!I17</x:f>
        <x:v>40368</x:v>
      </x:c>
      <x:c r="F130" s="3" t="str">
        <x:v>USD  thousand</x:v>
      </x:c>
      <x:c r="G130" s="3" t="str">
        <x:v>原始報表數字</x:v>
      </x:c>
      <x:c r="H130" s="3" t="str">
        <x:v>Report1!R106</x:v>
      </x:c>
      <x:c r="I130" s="3" t="str">
        <x:v>直接取原報表第106列</x:v>
      </x:c>
      <x:c r="J130" s="3" t="str">
        <x:v>計算底稿!I17</x:v>
      </x:c>
      <x:c r="K130" s="3" t="str">
        <x:v>屬應計費用；不是現金付息，也不以期末債務×利率替代。</x:v>
      </x:c>
      <x:c r="L130" s="3" t="str">
        <x:v>/Users/yuntzuyu/Downloads/e-loan/Quarter/e-Loan YQYQ-CROX Q2.xls</x:v>
      </x:c>
    </x:row>
    <x:row r="131" ht="25" customHeight="1">
      <x:c r="A131" s="3" t="str">
        <x:v>CROCS, INC.</x:v>
      </x:c>
      <x:c r="B131" s="3" t="str">
        <x:v>2026-01-01~2026-06-30</x:v>
      </x:c>
      <x:c r="C131" s="3" t="str">
        <x:v>2026-06-30</x:v>
      </x:c>
      <x:c r="D131" s="3" t="str">
        <x:v>Quick ratio</x:v>
      </x:c>
      <x:c r="E131" s="7" t="n">
        <x:f>'計算底稿'!J17</x:f>
        <x:v>0.8249</x:v>
      </x:c>
      <x:c r="F131" s="3" t="str">
        <x:v>%</x:v>
      </x:c>
      <x:c r="G131" s="3" t="str">
        <x:v>原始報表數字</x:v>
      </x:c>
      <x:c r="H131" s="3" t="str">
        <x:v>Report1!R198, Report1!R11, Report1!R12, Report1!R13, Report1!R40</x:v>
      </x:c>
      <x:c r="I131" s="3" t="str">
        <x:v>(現金＋流動金融資產＋應收款項)÷流動負債</x:v>
      </x:c>
      <x:c r="J131" s="3" t="str">
        <x:v>計算底稿!J17</x:v>
      </x:c>
      <x:c r="K131" s="3" t="str">
        <x:v>原值為百分比；非直接以流動資產扣存貨。</x:v>
      </x:c>
      <x:c r="L131" s="3" t="str">
        <x:v>/Users/yuntzuyu/Downloads/e-loan/Quarter/e-Loan YQYQ-CROX Q2.xls</x:v>
      </x:c>
    </x:row>
    <x:row r="132" ht="25" customHeight="1">
      <x:c r="A132" s="3" t="str">
        <x:v>CROCS, INC.</x:v>
      </x:c>
      <x:c r="B132" s="3" t="str">
        <x:v>2026-01-01~2026-06-30</x:v>
      </x:c>
      <x:c r="C132" s="3" t="str">
        <x:v>2026-06-30</x:v>
      </x:c>
      <x:c r="D132" s="3" t="str">
        <x:v>Debt ratio</x:v>
      </x:c>
      <x:c r="E132" s="7" t="n">
        <x:f>'計算底稿'!K17</x:f>
        <x:v>2.1461</x:v>
      </x:c>
      <x:c r="F132" s="3" t="str">
        <x:v>%</x:v>
      </x:c>
      <x:c r="G132" s="3" t="str">
        <x:v>原始報表數字</x:v>
      </x:c>
      <x:c r="H132" s="3" t="str">
        <x:v>Report1!R203, Report1!R62, Report1!R70</x:v>
      </x:c>
      <x:c r="I132" s="3" t="str">
        <x:v>總負債÷淨值</x:v>
      </x:c>
      <x:c r="J132" s="3" t="str">
        <x:v>計算底稿!K17</x:v>
      </x:c>
      <x:c r="K132" s="3" t="str">
        <x:v>實際為負債淨值比；非負債資產比，亦非有息債務比。</x:v>
      </x:c>
      <x:c r="L132" s="3" t="str">
        <x:v>/Users/yuntzuyu/Downloads/e-loan/Quarter/e-Loan YQYQ-CROX Q2.xls</x:v>
      </x:c>
    </x:row>
    <x:row r="133" ht="25" customHeight="1">
      <x:c r="A133" s="3" t="str">
        <x:v>CROCS, INC.</x:v>
      </x:c>
      <x:c r="B133" s="3" t="str">
        <x:v>2026-01-01~2026-06-30</x:v>
      </x:c>
      <x:c r="C133" s="3" t="str">
        <x:v>2026-06-30</x:v>
      </x:c>
      <x:c r="D133" s="3" t="str">
        <x:v>Total debt</x:v>
      </x:c>
      <x:c r="E133" s="6" t="n">
        <x:f>'計算底稿'!L17</x:f>
        <x:v>1307658</x:v>
      </x:c>
      <x:c r="F133" s="3" t="str">
        <x:v>USD  thousand</x:v>
      </x:c>
      <x:c r="G133" s="3" t="str">
        <x:v>推算值／列示項目小計</x:v>
      </x:c>
      <x:c r="H133" s="3" t="str">
        <x:v>Report1!R41, Report1!R43, Report1!R55, Report1!R56</x:v>
      </x:c>
      <x:c r="I133" s="3" t="str">
        <x:v>短期借款＋一年內到期長債＋長期銀行借款＋公司債</x:v>
      </x:c>
      <x:c r="J133" s="3" t="str">
        <x:v>計算底稿!L17</x:v>
      </x:c>
      <x:c r="K133" s="3" t="str">
        <x:v>空白項未計入；租賃等未另加，非契約確認總債務。</x:v>
      </x:c>
      <x:c r="L133" s="3" t="str">
        <x:v>/Users/yuntzuyu/Downloads/e-loan/Quarter/e-Loan YQYQ-CROX Q2.xls</x:v>
      </x:c>
    </x:row>
    <x:row r="134" ht="25" customHeight="1">
      <x:c r="A134" s="3" t="str">
        <x:v>CROCS, INC.</x:v>
      </x:c>
      <x:c r="B134" s="3" t="str">
        <x:v>2026-01-01~2026-06-30</x:v>
      </x:c>
      <x:c r="C134" s="3" t="str">
        <x:v>2026-06-30</x:v>
      </x:c>
      <x:c r="D134" s="3" t="str">
        <x:v>EBITDA（報表口徑）</x:v>
      </x:c>
      <x:c r="E134" s="6" t="n">
        <x:f>'計算底稿'!M17</x:f>
        <x:v>523421</x:v>
      </x:c>
      <x:c r="F134" s="3" t="str">
        <x:v>USD  thousand</x:v>
      </x:c>
      <x:c r="G134" s="3" t="str">
        <x:v>推算值</x:v>
      </x:c>
      <x:c r="H134" s="3" t="str">
        <x:v>Report1!R111, Report1!R106, Report1!R121, Report1!R201</x:v>
      </x:c>
      <x:c r="I134" s="3" t="str">
        <x:v>稅前損益＋利息費用＋折舊攤銷</x:v>
      </x:c>
      <x:c r="J134" s="3" t="str">
        <x:v>計算底稿!M17</x:v>
      </x:c>
      <x:c r="K134" s="3" t="str">
        <x:v>可重現原表EBITDA/Interest；含業外損益。</x:v>
      </x:c>
      <x:c r="L134" s="3" t="str">
        <x:v>/Users/yuntzuyu/Downloads/e-loan/Quarter/e-Loan YQYQ-CROX Q2.xls</x:v>
      </x:c>
    </x:row>
    <x:row r="135" ht="25" customHeight="1">
      <x:c r="A135" s="3" t="str">
        <x:v>CROCS, INC.</x:v>
      </x:c>
      <x:c r="B135" s="3" t="str">
        <x:v>2026-01-01~2026-06-30</x:v>
      </x:c>
      <x:c r="C135" s="3" t="str">
        <x:v>2026-06-30</x:v>
      </x:c>
      <x:c r="D135" s="3" t="str">
        <x:v>EBITDA basis</x:v>
      </x:c>
      <x:c r="E135" s="3" t="str">
        <x:v>稅前損益＋利息＋折舊攤銷</x:v>
      </x:c>
      <x:c r="F135" s="3" t="str">
        <x:v>文字</x:v>
      </x:c>
      <x:c r="G135" s="3" t="str">
        <x:v>口徑說明</x:v>
      </x:c>
      <x:c r="H135" s="3" t="str">
        <x:v>Report1!R111, Report1!R106, Report1!R121</x:v>
      </x:c>
      <x:c r="I135" s="3" t="str">
        <x:v>稅前損益＋利息費用＋折舊攤銷</x:v>
      </x:c>
      <x:c r="J135" s="3" t="str">
        <x:v>計算底稿!M17</x:v>
      </x:c>
      <x:c r="K135" s="3" t="str">
        <x:v>本列為文字定義；不代表Adjusted或契約EBITDA。</x:v>
      </x:c>
      <x:c r="L135" s="3" t="str">
        <x:v>/Users/yuntzuyu/Downloads/e-loan/Quarter/e-Loan YQYQ-CROX Q2.xls</x:v>
      </x:c>
    </x:row>
    <x:row r="136" ht="25" customHeight="1">
      <x:c r="A136" s="3" t="str">
        <x:v>CROCS, INC.</x:v>
      </x:c>
      <x:c r="B136" s="3" t="str">
        <x:v>2026-01-01~2026-06-30</x:v>
      </x:c>
      <x:c r="C136" s="3" t="str">
        <x:v>2026-06-30</x:v>
      </x:c>
      <x:c r="D136" s="3" t="str">
        <x:v>LTM EBITDA</x:v>
      </x:c>
      <x:c r="E136" s="6" t="n">
        <x:f>'計算底稿'!P17</x:f>
        <x:v>944114</x:v>
      </x:c>
      <x:c r="F136" s="3" t="str">
        <x:v>USD  thousand</x:v>
      </x:c>
      <x:c r="G136" s="3" t="str">
        <x:v>推算值</x:v>
      </x:c>
      <x:c r="H136" s="3" t="str">
        <x:v>Report1!R111, Report1!R106, Report1!R121；EBITDA另取M、I欄第111/106/121列</x:v>
      </x:c>
      <x:c r="I136" s="3" t="str">
        <x:v>全年：當年EBITDA；期中：前全年＋本YTD−前YTD</x:v>
      </x:c>
      <x:c r="J136" s="3" t="str">
        <x:v>計算底稿!P17</x:v>
      </x:c>
      <x:c r="K136" s="3" t="str">
        <x:v>期中缺前同期則資料不足；不採YTD×2或×4。</x:v>
      </x:c>
      <x:c r="L136" s="3" t="str">
        <x:v>/Users/yuntzuyu/Downloads/e-loan/Quarter/e-Loan YQYQ-CROX Q2.xls</x:v>
      </x:c>
    </x:row>
    <x:row r="137" ht="25" customHeight="1">
      <x:c r="A137" s="3" t="str">
        <x:v>CROCS, INC.</x:v>
      </x:c>
      <x:c r="B137" s="3" t="str">
        <x:v>2026-01-01~2026-06-30</x:v>
      </x:c>
      <x:c r="C137" s="3" t="str">
        <x:v>2026-06-30</x:v>
      </x:c>
      <x:c r="D137" s="3" t="str">
        <x:v>Total leverage ratio</x:v>
      </x:c>
      <x:c r="E137" s="8" t="n">
        <x:f>'計算底稿'!Q17</x:f>
        <x:v>1.385063668158718</x:v>
      </x:c>
      <x:c r="F137" s="3" t="str">
        <x:v>倍</x:v>
      </x:c>
      <x:c r="G137" s="3" t="str">
        <x:v>推算值／非契約倍數</x:v>
      </x:c>
      <x:c r="H137" s="3" t="str">
        <x:v>Report1!R41, Report1!R43, Report1!R55, Report1!R56, Report1!R111, Report1!R106, Report1!R121；EBITDA另取M、I欄第111/106/121列</x:v>
      </x:c>
      <x:c r="I137" s="3" t="str">
        <x:v>期末列示債務合計÷LTM EBITDA</x:v>
      </x:c>
      <x:c r="J137" s="3" t="str">
        <x:v>計算底稿!Q17</x:v>
      </x:c>
      <x:c r="K137" s="3" t="str">
        <x:v>未扣現金；不含未辨識租賃；EBITDA≤0時標示不具意義。</x:v>
      </x:c>
      <x:c r="L137" s="3" t="str">
        <x:v>/Users/yuntzuyu/Downloads/e-loan/Quarter/e-Loan YQYQ-CROX Q2.xls</x:v>
      </x:c>
    </x:row>
    <x:row r="138" ht="25" customHeight="1">
      <x:c r="A138" s="3" t="str">
        <x:v>INSULET CORPORATION</x:v>
      </x:c>
      <x:c r="B138" s="3" t="str">
        <x:v>2024-01-01~2024-12-31</x:v>
      </x:c>
      <x:c r="C138" s="3" t="str">
        <x:v>2024-12-31</x:v>
      </x:c>
      <x:c r="D138" s="3" t="str">
        <x:v>Cost of revenues</x:v>
      </x:c>
      <x:c r="E138" s="6" t="n">
        <x:f>'計算底稿'!F18</x:f>
        <x:v>626</x:v>
      </x:c>
      <x:c r="F138" s="3" t="str">
        <x:v>USD  million</x:v>
      </x:c>
      <x:c r="G138" s="3" t="str">
        <x:v>原始報表數字</x:v>
      </x:c>
      <x:c r="H138" s="3" t="str">
        <x:v>Report1!D86</x:v>
      </x:c>
      <x:c r="I138" s="3" t="str">
        <x:v>營收−毛利（驗算）</x:v>
      </x:c>
      <x:c r="J138" s="3" t="str">
        <x:v>計算底稿!F18</x:v>
      </x:c>
      <x:c r="K138" s="3" t="str">
        <x:v>對應Operating Cost/COGS；缺成本細項。</x:v>
      </x:c>
      <x:c r="L138" s="3" t="str">
        <x:v>/Users/yuntzuyu/Downloads/e-loan/Quarter/e-Loan YQYQ-Insulet Q2.xls</x:v>
      </x:c>
    </x:row>
    <x:row r="139" ht="25" customHeight="1">
      <x:c r="A139" s="3" t="str">
        <x:v>INSULET CORPORATION</x:v>
      </x:c>
      <x:c r="B139" s="3" t="str">
        <x:v>2024-01-01~2024-12-31</x:v>
      </x:c>
      <x:c r="C139" s="3" t="str">
        <x:v>2024-12-31</x:v>
      </x:c>
      <x:c r="D139" s="3" t="str">
        <x:v>Gross profit</x:v>
      </x:c>
      <x:c r="E139" s="6" t="n">
        <x:f>'計算底稿'!G18</x:f>
        <x:v>1446</x:v>
      </x:c>
      <x:c r="F139" s="3" t="str">
        <x:v>USD  million</x:v>
      </x:c>
      <x:c r="G139" s="3" t="str">
        <x:v>原始報表數字</x:v>
      </x:c>
      <x:c r="H139" s="3" t="str">
        <x:v>Report1!D94, Report1!D80, Report1!D86</x:v>
      </x:c>
      <x:c r="I139" s="3" t="str">
        <x:v>營收−營收成本</x:v>
      </x:c>
      <x:c r="J139" s="3" t="str">
        <x:v>計算底稿!G18</x:v>
      </x:c>
      <x:c r="K139" s="3" t="str">
        <x:v>原值與驗算一致。</x:v>
      </x:c>
      <x:c r="L139" s="3" t="str">
        <x:v>/Users/yuntzuyu/Downloads/e-loan/Quarter/e-Loan YQYQ-Insulet Q2.xls</x:v>
      </x:c>
    </x:row>
    <x:row r="140" ht="25" customHeight="1">
      <x:c r="A140" s="3" t="str">
        <x:v>INSULET CORPORATION</x:v>
      </x:c>
      <x:c r="B140" s="3" t="str">
        <x:v>2024-01-01~2024-12-31</x:v>
      </x:c>
      <x:c r="C140" s="3" t="str">
        <x:v>2024-12-31</x:v>
      </x:c>
      <x:c r="D140" s="3" t="str">
        <x:v>Operating expense</x:v>
      </x:c>
      <x:c r="E140" s="6" t="n">
        <x:f>'計算底稿'!H18</x:f>
        <x:v>1137</x:v>
      </x:c>
      <x:c r="F140" s="3" t="str">
        <x:v>USD  million</x:v>
      </x:c>
      <x:c r="G140" s="3" t="str">
        <x:v>原始報表數字</x:v>
      </x:c>
      <x:c r="H140" s="3" t="str">
        <x:v>Report1!D96, Report1!D94, Report1!D97</x:v>
      </x:c>
      <x:c r="I140" s="3" t="str">
        <x:v>毛利−營業利益（驗算）</x:v>
      </x:c>
      <x:c r="J140" s="3" t="str">
        <x:v>計算底稿!H18</x:v>
      </x:c>
      <x:c r="K140" s="3" t="str">
        <x:v>缺銷管、研發、減損等細分。</x:v>
      </x:c>
      <x:c r="L140" s="3" t="str">
        <x:v>/Users/yuntzuyu/Downloads/e-loan/Quarter/e-Loan YQYQ-Insulet Q2.xls</x:v>
      </x:c>
    </x:row>
    <x:row r="141" ht="25" customHeight="1">
      <x:c r="A141" s="3" t="str">
        <x:v>INSULET CORPORATION</x:v>
      </x:c>
      <x:c r="B141" s="3" t="str">
        <x:v>2024-01-01~2024-12-31</x:v>
      </x:c>
      <x:c r="C141" s="3" t="str">
        <x:v>2024-12-31</x:v>
      </x:c>
      <x:c r="D141" s="3" t="str">
        <x:v>Interest expense</x:v>
      </x:c>
      <x:c r="E141" s="6" t="n">
        <x:f>'計算底稿'!I18</x:f>
        <x:v>43</x:v>
      </x:c>
      <x:c r="F141" s="3" t="str">
        <x:v>USD  million</x:v>
      </x:c>
      <x:c r="G141" s="3" t="str">
        <x:v>原始報表數字</x:v>
      </x:c>
      <x:c r="H141" s="3" t="str">
        <x:v>Report1!D106</x:v>
      </x:c>
      <x:c r="I141" s="3" t="str">
        <x:v>直接取原報表第106列</x:v>
      </x:c>
      <x:c r="J141" s="3" t="str">
        <x:v>計算底稿!I18</x:v>
      </x:c>
      <x:c r="K141" s="3" t="str">
        <x:v>屬應計費用；不是現金付息，也不以期末債務×利率替代。</x:v>
      </x:c>
      <x:c r="L141" s="3" t="str">
        <x:v>/Users/yuntzuyu/Downloads/e-loan/Quarter/e-Loan YQYQ-Insulet Q2.xls</x:v>
      </x:c>
    </x:row>
    <x:row r="142" ht="25" customHeight="1">
      <x:c r="A142" s="3" t="str">
        <x:v>INSULET CORPORATION</x:v>
      </x:c>
      <x:c r="B142" s="3" t="str">
        <x:v>2024-01-01~2024-12-31</x:v>
      </x:c>
      <x:c r="C142" s="3" t="str">
        <x:v>2024-12-31</x:v>
      </x:c>
      <x:c r="D142" s="3" t="str">
        <x:v>Quick ratio</x:v>
      </x:c>
      <x:c r="E142" s="7" t="n">
        <x:f>'計算底稿'!J18</x:f>
        <x:v>2.4934</x:v>
      </x:c>
      <x:c r="F142" s="3" t="str">
        <x:v>%</x:v>
      </x:c>
      <x:c r="G142" s="3" t="str">
        <x:v>原始報表數字</x:v>
      </x:c>
      <x:c r="H142" s="3" t="str">
        <x:v>Report1!D198, Report1!D11, Report1!D12, Report1!D13, Report1!D40</x:v>
      </x:c>
      <x:c r="I142" s="3" t="str">
        <x:v>(現金＋流動金融資產＋應收款項)÷流動負債</x:v>
      </x:c>
      <x:c r="J142" s="3" t="str">
        <x:v>計算底稿!J18</x:v>
      </x:c>
      <x:c r="K142" s="3" t="str">
        <x:v>原值為百分比；非直接以流動資產扣存貨。</x:v>
      </x:c>
      <x:c r="L142" s="3" t="str">
        <x:v>/Users/yuntzuyu/Downloads/e-loan/Quarter/e-Loan YQYQ-Insulet Q2.xls</x:v>
      </x:c>
    </x:row>
    <x:row r="143" ht="25" customHeight="1">
      <x:c r="A143" s="3" t="str">
        <x:v>INSULET CORPORATION</x:v>
      </x:c>
      <x:c r="B143" s="3" t="str">
        <x:v>2024-01-01~2024-12-31</x:v>
      </x:c>
      <x:c r="C143" s="3" t="str">
        <x:v>2024-12-31</x:v>
      </x:c>
      <x:c r="D143" s="3" t="str">
        <x:v>Debt ratio</x:v>
      </x:c>
      <x:c r="E143" s="7" t="n">
        <x:f>'計算底稿'!K18</x:f>
        <x:v>1.5478999999999998</x:v>
      </x:c>
      <x:c r="F143" s="3" t="str">
        <x:v>%</x:v>
      </x:c>
      <x:c r="G143" s="3" t="str">
        <x:v>原始報表數字</x:v>
      </x:c>
      <x:c r="H143" s="3" t="str">
        <x:v>Report1!D203, Report1!D62, Report1!D70</x:v>
      </x:c>
      <x:c r="I143" s="3" t="str">
        <x:v>總負債÷淨值</x:v>
      </x:c>
      <x:c r="J143" s="3" t="str">
        <x:v>計算底稿!K18</x:v>
      </x:c>
      <x:c r="K143" s="3" t="str">
        <x:v>實際為負債淨值比；非負債資產比，亦非有息債務比。</x:v>
      </x:c>
      <x:c r="L143" s="3" t="str">
        <x:v>/Users/yuntzuyu/Downloads/e-loan/Quarter/e-Loan YQYQ-Insulet Q2.xls</x:v>
      </x:c>
    </x:row>
    <x:row r="144" ht="25" customHeight="1">
      <x:c r="A144" s="3" t="str">
        <x:v>INSULET CORPORATION</x:v>
      </x:c>
      <x:c r="B144" s="3" t="str">
        <x:v>2024-01-01~2024-12-31</x:v>
      </x:c>
      <x:c r="C144" s="3" t="str">
        <x:v>2024-12-31</x:v>
      </x:c>
      <x:c r="D144" s="3" t="str">
        <x:v>Total debt</x:v>
      </x:c>
      <x:c r="E144" s="6" t="n">
        <x:f>'計算底稿'!L18</x:f>
        <x:v>1354</x:v>
      </x:c>
      <x:c r="F144" s="3" t="str">
        <x:v>USD  million</x:v>
      </x:c>
      <x:c r="G144" s="3" t="str">
        <x:v>推算值／列示項目小計</x:v>
      </x:c>
      <x:c r="H144" s="3" t="str">
        <x:v>Report1!D41, Report1!D43, Report1!D55, Report1!D56</x:v>
      </x:c>
      <x:c r="I144" s="3" t="str">
        <x:v>短期借款＋一年內到期長債＋長期銀行借款＋公司債</x:v>
      </x:c>
      <x:c r="J144" s="3" t="str">
        <x:v>計算底稿!L18</x:v>
      </x:c>
      <x:c r="K144" s="3" t="str">
        <x:v>空白項未計入；租賃等未另加，非契約確認總債務。</x:v>
      </x:c>
      <x:c r="L144" s="3" t="str">
        <x:v>/Users/yuntzuyu/Downloads/e-loan/Quarter/e-Loan YQYQ-Insulet Q2.xls</x:v>
      </x:c>
    </x:row>
    <x:row r="145" ht="25" customHeight="1">
      <x:c r="A145" s="3" t="str">
        <x:v>INSULET CORPORATION</x:v>
      </x:c>
      <x:c r="B145" s="3" t="str">
        <x:v>2024-01-01~2024-12-31</x:v>
      </x:c>
      <x:c r="C145" s="3" t="str">
        <x:v>2024-12-31</x:v>
      </x:c>
      <x:c r="D145" s="3" t="str">
        <x:v>EBITDA（報表口徑）</x:v>
      </x:c>
      <x:c r="E145" s="6" t="n">
        <x:f>'計算底稿'!M18</x:f>
        <x:v>424</x:v>
      </x:c>
      <x:c r="F145" s="3" t="str">
        <x:v>USD  million</x:v>
      </x:c>
      <x:c r="G145" s="3" t="str">
        <x:v>推算值</x:v>
      </x:c>
      <x:c r="H145" s="3" t="str">
        <x:v>Report1!D111, Report1!D106, Report1!D121, Report1!D201</x:v>
      </x:c>
      <x:c r="I145" s="3" t="str">
        <x:v>稅前損益＋利息費用＋折舊攤銷</x:v>
      </x:c>
      <x:c r="J145" s="3" t="str">
        <x:v>計算底稿!M18</x:v>
      </x:c>
      <x:c r="K145" s="3" t="str">
        <x:v>可重現原表EBITDA/Interest；含業外損益。</x:v>
      </x:c>
      <x:c r="L145" s="3" t="str">
        <x:v>/Users/yuntzuyu/Downloads/e-loan/Quarter/e-Loan YQYQ-Insulet Q2.xls</x:v>
      </x:c>
    </x:row>
    <x:row r="146" ht="25" customHeight="1">
      <x:c r="A146" s="3" t="str">
        <x:v>INSULET CORPORATION</x:v>
      </x:c>
      <x:c r="B146" s="3" t="str">
        <x:v>2024-01-01~2024-12-31</x:v>
      </x:c>
      <x:c r="C146" s="3" t="str">
        <x:v>2024-12-31</x:v>
      </x:c>
      <x:c r="D146" s="3" t="str">
        <x:v>EBITDA basis</x:v>
      </x:c>
      <x:c r="E146" s="3" t="str">
        <x:v>稅前損益＋利息＋折舊攤銷</x:v>
      </x:c>
      <x:c r="F146" s="3" t="str">
        <x:v>文字</x:v>
      </x:c>
      <x:c r="G146" s="3" t="str">
        <x:v>口徑說明</x:v>
      </x:c>
      <x:c r="H146" s="3" t="str">
        <x:v>Report1!D111, Report1!D106, Report1!D121</x:v>
      </x:c>
      <x:c r="I146" s="3" t="str">
        <x:v>稅前損益＋利息費用＋折舊攤銷</x:v>
      </x:c>
      <x:c r="J146" s="3" t="str">
        <x:v>計算底稿!M18</x:v>
      </x:c>
      <x:c r="K146" s="3" t="str">
        <x:v>本列為文字定義；不代表Adjusted或契約EBITDA。</x:v>
      </x:c>
      <x:c r="L146" s="3" t="str">
        <x:v>/Users/yuntzuyu/Downloads/e-loan/Quarter/e-Loan YQYQ-Insulet Q2.xls</x:v>
      </x:c>
    </x:row>
    <x:row r="147" ht="25" customHeight="1">
      <x:c r="A147" s="3" t="str">
        <x:v>INSULET CORPORATION</x:v>
      </x:c>
      <x:c r="B147" s="3" t="str">
        <x:v>2024-01-01~2024-12-31</x:v>
      </x:c>
      <x:c r="C147" s="3" t="str">
        <x:v>2024-12-31</x:v>
      </x:c>
      <x:c r="D147" s="3" t="str">
        <x:v>LTM EBITDA</x:v>
      </x:c>
      <x:c r="E147" s="6" t="n">
        <x:f>'計算底稿'!P18</x:f>
        <x:v>424</x:v>
      </x:c>
      <x:c r="F147" s="3" t="str">
        <x:v>USD  million</x:v>
      </x:c>
      <x:c r="G147" s="3" t="str">
        <x:v>推算值</x:v>
      </x:c>
      <x:c r="H147" s="3" t="str">
        <x:v>Report1!D111, Report1!D106, Report1!D121</x:v>
      </x:c>
      <x:c r="I147" s="3" t="str">
        <x:v>全年：當年EBITDA；期中：前全年＋本YTD−前YTD</x:v>
      </x:c>
      <x:c r="J147" s="3" t="str">
        <x:v>計算底稿!P18</x:v>
      </x:c>
      <x:c r="K147" s="3" t="str">
        <x:v>期中缺前同期則資料不足；不採YTD×2或×4。</x:v>
      </x:c>
      <x:c r="L147" s="3" t="str">
        <x:v>/Users/yuntzuyu/Downloads/e-loan/Quarter/e-Loan YQYQ-Insulet Q2.xls</x:v>
      </x:c>
    </x:row>
    <x:row r="148" ht="25" customHeight="1">
      <x:c r="A148" s="3" t="str">
        <x:v>INSULET CORPORATION</x:v>
      </x:c>
      <x:c r="B148" s="3" t="str">
        <x:v>2024-01-01~2024-12-31</x:v>
      </x:c>
      <x:c r="C148" s="3" t="str">
        <x:v>2024-12-31</x:v>
      </x:c>
      <x:c r="D148" s="3" t="str">
        <x:v>Total leverage ratio</x:v>
      </x:c>
      <x:c r="E148" s="8" t="n">
        <x:f>'計算底稿'!Q18</x:f>
        <x:v>3.193396226415094</x:v>
      </x:c>
      <x:c r="F148" s="3" t="str">
        <x:v>倍</x:v>
      </x:c>
      <x:c r="G148" s="3" t="str">
        <x:v>推算值／非契約倍數</x:v>
      </x:c>
      <x:c r="H148" s="3" t="str">
        <x:v>Report1!D41, Report1!D43, Report1!D55, Report1!D56, Report1!D111, Report1!D106, Report1!D121</x:v>
      </x:c>
      <x:c r="I148" s="3" t="str">
        <x:v>期末列示債務合計÷LTM EBITDA</x:v>
      </x:c>
      <x:c r="J148" s="3" t="str">
        <x:v>計算底稿!Q18</x:v>
      </x:c>
      <x:c r="K148" s="3" t="str">
        <x:v>未扣現金；不含未辨識租賃；EBITDA≤0時標示不具意義。</x:v>
      </x:c>
      <x:c r="L148" s="3" t="str">
        <x:v>/Users/yuntzuyu/Downloads/e-loan/Quarter/e-Loan YQYQ-Insulet Q2.xls</x:v>
      </x:c>
    </x:row>
    <x:row r="149" ht="25" customHeight="1">
      <x:c r="A149" s="3" t="str">
        <x:v>INSULET CORPORATION</x:v>
      </x:c>
      <x:c r="B149" s="3" t="str">
        <x:v>2025-01-01~2025-06-30</x:v>
      </x:c>
      <x:c r="C149" s="3" t="str">
        <x:v>2025-06-30</x:v>
      </x:c>
      <x:c r="D149" s="3" t="str">
        <x:v>Cost of revenues</x:v>
      </x:c>
      <x:c r="E149" s="6" t="n">
        <x:f>'計算底稿'!F19</x:f>
        <x:v>357</x:v>
      </x:c>
      <x:c r="F149" s="3" t="str">
        <x:v>USD  million</x:v>
      </x:c>
      <x:c r="G149" s="3" t="str">
        <x:v>原始報表數字</x:v>
      </x:c>
      <x:c r="H149" s="3" t="str">
        <x:v>Report1!I86</x:v>
      </x:c>
      <x:c r="I149" s="3" t="str">
        <x:v>營收−毛利（驗算）</x:v>
      </x:c>
      <x:c r="J149" s="3" t="str">
        <x:v>計算底稿!F19</x:v>
      </x:c>
      <x:c r="K149" s="3" t="str">
        <x:v>對應Operating Cost/COGS；缺成本細項。</x:v>
      </x:c>
      <x:c r="L149" s="3" t="str">
        <x:v>/Users/yuntzuyu/Downloads/e-loan/Quarter/e-Loan YQYQ-Insulet Q2.xls</x:v>
      </x:c>
    </x:row>
    <x:row r="150" ht="25" customHeight="1">
      <x:c r="A150" s="3" t="str">
        <x:v>INSULET CORPORATION</x:v>
      </x:c>
      <x:c r="B150" s="3" t="str">
        <x:v>2025-01-01~2025-06-30</x:v>
      </x:c>
      <x:c r="C150" s="3" t="str">
        <x:v>2025-06-30</x:v>
      </x:c>
      <x:c r="D150" s="3" t="str">
        <x:v>Gross profit</x:v>
      </x:c>
      <x:c r="E150" s="6" t="n">
        <x:f>'計算底稿'!G19</x:f>
        <x:v>861</x:v>
      </x:c>
      <x:c r="F150" s="3" t="str">
        <x:v>USD  million</x:v>
      </x:c>
      <x:c r="G150" s="3" t="str">
        <x:v>原始報表數字</x:v>
      </x:c>
      <x:c r="H150" s="3" t="str">
        <x:v>Report1!I94, Report1!I80, Report1!I86</x:v>
      </x:c>
      <x:c r="I150" s="3" t="str">
        <x:v>營收−營收成本</x:v>
      </x:c>
      <x:c r="J150" s="3" t="str">
        <x:v>計算底稿!G19</x:v>
      </x:c>
      <x:c r="K150" s="3" t="str">
        <x:v>原值與驗算一致。</x:v>
      </x:c>
      <x:c r="L150" s="3" t="str">
        <x:v>/Users/yuntzuyu/Downloads/e-loan/Quarter/e-Loan YQYQ-Insulet Q2.xls</x:v>
      </x:c>
    </x:row>
    <x:row r="151" ht="25" customHeight="1">
      <x:c r="A151" s="3" t="str">
        <x:v>INSULET CORPORATION</x:v>
      </x:c>
      <x:c r="B151" s="3" t="str">
        <x:v>2025-01-01~2025-06-30</x:v>
      </x:c>
      <x:c r="C151" s="3" t="str">
        <x:v>2025-06-30</x:v>
      </x:c>
      <x:c r="D151" s="3" t="str">
        <x:v>Operating expense</x:v>
      </x:c>
      <x:c r="E151" s="6" t="n">
        <x:f>'計算底稿'!H19</x:f>
        <x:v>651</x:v>
      </x:c>
      <x:c r="F151" s="3" t="str">
        <x:v>USD  million</x:v>
      </x:c>
      <x:c r="G151" s="3" t="str">
        <x:v>原始報表數字</x:v>
      </x:c>
      <x:c r="H151" s="3" t="str">
        <x:v>Report1!I96, Report1!I94, Report1!I97</x:v>
      </x:c>
      <x:c r="I151" s="3" t="str">
        <x:v>毛利−營業利益（驗算）</x:v>
      </x:c>
      <x:c r="J151" s="3" t="str">
        <x:v>計算底稿!H19</x:v>
      </x:c>
      <x:c r="K151" s="3" t="str">
        <x:v>缺銷管、研發、減損等細分。</x:v>
      </x:c>
      <x:c r="L151" s="3" t="str">
        <x:v>/Users/yuntzuyu/Downloads/e-loan/Quarter/e-Loan YQYQ-Insulet Q2.xls</x:v>
      </x:c>
    </x:row>
    <x:row r="152" ht="25" customHeight="1">
      <x:c r="A152" s="3" t="str">
        <x:v>INSULET CORPORATION</x:v>
      </x:c>
      <x:c r="B152" s="3" t="str">
        <x:v>2025-01-01~2025-06-30</x:v>
      </x:c>
      <x:c r="C152" s="3" t="str">
        <x:v>2025-06-30</x:v>
      </x:c>
      <x:c r="D152" s="3" t="str">
        <x:v>Interest expense</x:v>
      </x:c>
      <x:c r="E152" s="6" t="n">
        <x:f>'計算底稿'!I19</x:f>
        <x:v>29</x:v>
      </x:c>
      <x:c r="F152" s="3" t="str">
        <x:v>USD  million</x:v>
      </x:c>
      <x:c r="G152" s="3" t="str">
        <x:v>原始報表數字</x:v>
      </x:c>
      <x:c r="H152" s="3" t="str">
        <x:v>Report1!I106</x:v>
      </x:c>
      <x:c r="I152" s="3" t="str">
        <x:v>直接取原報表第106列</x:v>
      </x:c>
      <x:c r="J152" s="3" t="str">
        <x:v>計算底稿!I19</x:v>
      </x:c>
      <x:c r="K152" s="3" t="str">
        <x:v>屬應計費用；不是現金付息，也不以期末債務×利率替代。</x:v>
      </x:c>
      <x:c r="L152" s="3" t="str">
        <x:v>/Users/yuntzuyu/Downloads/e-loan/Quarter/e-Loan YQYQ-Insulet Q2.xls</x:v>
      </x:c>
    </x:row>
    <x:row r="153" ht="25" customHeight="1">
      <x:c r="A153" s="3" t="str">
        <x:v>INSULET CORPORATION</x:v>
      </x:c>
      <x:c r="B153" s="3" t="str">
        <x:v>2025-01-01~2025-06-30</x:v>
      </x:c>
      <x:c r="C153" s="3" t="str">
        <x:v>2025-06-30</x:v>
      </x:c>
      <x:c r="D153" s="3" t="str">
        <x:v>Quick ratio</x:v>
      </x:c>
      <x:c r="E153" s="7" t="n">
        <x:f>'計算底稿'!J19</x:f>
        <x:v>1.5505000000000002</x:v>
      </x:c>
      <x:c r="F153" s="3" t="str">
        <x:v>%</x:v>
      </x:c>
      <x:c r="G153" s="3" t="str">
        <x:v>原始報表數字</x:v>
      </x:c>
      <x:c r="H153" s="3" t="str">
        <x:v>Report1!I198, Report1!I11, Report1!I12, Report1!I13, Report1!I40</x:v>
      </x:c>
      <x:c r="I153" s="3" t="str">
        <x:v>(現金＋流動金融資產＋應收款項)÷流動負債</x:v>
      </x:c>
      <x:c r="J153" s="3" t="str">
        <x:v>計算底稿!J19</x:v>
      </x:c>
      <x:c r="K153" s="3" t="str">
        <x:v>原值為百分比；非直接以流動資產扣存貨。</x:v>
      </x:c>
      <x:c r="L153" s="3" t="str">
        <x:v>/Users/yuntzuyu/Downloads/e-loan/Quarter/e-Loan YQYQ-Insulet Q2.xls</x:v>
      </x:c>
    </x:row>
    <x:row r="154" ht="25" customHeight="1">
      <x:c r="A154" s="3" t="str">
        <x:v>INSULET CORPORATION</x:v>
      </x:c>
      <x:c r="B154" s="3" t="str">
        <x:v>2025-01-01~2025-06-30</x:v>
      </x:c>
      <x:c r="C154" s="3" t="str">
        <x:v>2025-06-30</x:v>
      </x:c>
      <x:c r="D154" s="3" t="str">
        <x:v>Debt ratio</x:v>
      </x:c>
      <x:c r="E154" s="7" t="n">
        <x:f>'計算底稿'!K19</x:f>
        <x:v>1.3712</x:v>
      </x:c>
      <x:c r="F154" s="3" t="str">
        <x:v>%</x:v>
      </x:c>
      <x:c r="G154" s="3" t="str">
        <x:v>原始報表數字</x:v>
      </x:c>
      <x:c r="H154" s="3" t="str">
        <x:v>Report1!I203, Report1!I62, Report1!I70</x:v>
      </x:c>
      <x:c r="I154" s="3" t="str">
        <x:v>總負債÷淨值</x:v>
      </x:c>
      <x:c r="J154" s="3" t="str">
        <x:v>計算底稿!K19</x:v>
      </x:c>
      <x:c r="K154" s="3" t="str">
        <x:v>實際為負債淨值比；非負債資產比，亦非有息債務比。</x:v>
      </x:c>
      <x:c r="L154" s="3" t="str">
        <x:v>/Users/yuntzuyu/Downloads/e-loan/Quarter/e-Loan YQYQ-Insulet Q2.xls</x:v>
      </x:c>
    </x:row>
    <x:row r="155" ht="25" customHeight="1">
      <x:c r="A155" s="3" t="str">
        <x:v>INSULET CORPORATION</x:v>
      </x:c>
      <x:c r="B155" s="3" t="str">
        <x:v>2025-01-01~2025-06-30</x:v>
      </x:c>
      <x:c r="C155" s="3" t="str">
        <x:v>2025-06-30</x:v>
      </x:c>
      <x:c r="D155" s="3" t="str">
        <x:v>Total debt</x:v>
      </x:c>
      <x:c r="E155" s="6" t="n">
        <x:f>'計算底稿'!L19</x:f>
        <x:v>1377</x:v>
      </x:c>
      <x:c r="F155" s="3" t="str">
        <x:v>USD  million</x:v>
      </x:c>
      <x:c r="G155" s="3" t="str">
        <x:v>推算值／列示項目小計</x:v>
      </x:c>
      <x:c r="H155" s="3" t="str">
        <x:v>Report1!I41, Report1!I43, Report1!I55, Report1!I56</x:v>
      </x:c>
      <x:c r="I155" s="3" t="str">
        <x:v>短期借款＋一年內到期長債＋長期銀行借款＋公司債</x:v>
      </x:c>
      <x:c r="J155" s="3" t="str">
        <x:v>計算底稿!L19</x:v>
      </x:c>
      <x:c r="K155" s="3" t="str">
        <x:v>空白項未計入；租賃等未另加，非契約確認總債務。</x:v>
      </x:c>
      <x:c r="L155" s="3" t="str">
        <x:v>/Users/yuntzuyu/Downloads/e-loan/Quarter/e-Loan YQYQ-Insulet Q2.xls</x:v>
      </x:c>
    </x:row>
    <x:row r="156" ht="25" customHeight="1">
      <x:c r="A156" s="3" t="str">
        <x:v>INSULET CORPORATION</x:v>
      </x:c>
      <x:c r="B156" s="3" t="str">
        <x:v>2025-01-01~2025-06-30</x:v>
      </x:c>
      <x:c r="C156" s="3" t="str">
        <x:v>2025-06-30</x:v>
      </x:c>
      <x:c r="D156" s="3" t="str">
        <x:v>EBITDA（報表口徑）</x:v>
      </x:c>
      <x:c r="E156" s="6" t="n">
        <x:f>'計算底稿'!M19</x:f>
        <x:v>149</x:v>
      </x:c>
      <x:c r="F156" s="3" t="str">
        <x:v>USD  million</x:v>
      </x:c>
      <x:c r="G156" s="3" t="str">
        <x:v>推算值</x:v>
      </x:c>
      <x:c r="H156" s="3" t="str">
        <x:v>Report1!I111, Report1!I106, Report1!I121, Report1!I201</x:v>
      </x:c>
      <x:c r="I156" s="3" t="str">
        <x:v>稅前損益＋利息費用＋折舊攤銷</x:v>
      </x:c>
      <x:c r="J156" s="3" t="str">
        <x:v>計算底稿!M19</x:v>
      </x:c>
      <x:c r="K156" s="3" t="str">
        <x:v>可重現原表EBITDA/Interest；含業外損益。</x:v>
      </x:c>
      <x:c r="L156" s="3" t="str">
        <x:v>/Users/yuntzuyu/Downloads/e-loan/Quarter/e-Loan YQYQ-Insulet Q2.xls</x:v>
      </x:c>
    </x:row>
    <x:row r="157" ht="25" customHeight="1">
      <x:c r="A157" s="3" t="str">
        <x:v>INSULET CORPORATION</x:v>
      </x:c>
      <x:c r="B157" s="3" t="str">
        <x:v>2025-01-01~2025-06-30</x:v>
      </x:c>
      <x:c r="C157" s="3" t="str">
        <x:v>2025-06-30</x:v>
      </x:c>
      <x:c r="D157" s="3" t="str">
        <x:v>EBITDA basis</x:v>
      </x:c>
      <x:c r="E157" s="3" t="str">
        <x:v>稅前損益＋利息＋折舊攤銷</x:v>
      </x:c>
      <x:c r="F157" s="3" t="str">
        <x:v>文字</x:v>
      </x:c>
      <x:c r="G157" s="3" t="str">
        <x:v>口徑說明</x:v>
      </x:c>
      <x:c r="H157" s="3" t="str">
        <x:v>Report1!I111, Report1!I106, Report1!I121</x:v>
      </x:c>
      <x:c r="I157" s="3" t="str">
        <x:v>稅前損益＋利息費用＋折舊攤銷</x:v>
      </x:c>
      <x:c r="J157" s="3" t="str">
        <x:v>計算底稿!M19</x:v>
      </x:c>
      <x:c r="K157" s="3" t="str">
        <x:v>本列為文字定義；不代表Adjusted或契約EBITDA。</x:v>
      </x:c>
      <x:c r="L157" s="3" t="str">
        <x:v>/Users/yuntzuyu/Downloads/e-loan/Quarter/e-Loan YQYQ-Insulet Q2.xls</x:v>
      </x:c>
    </x:row>
    <x:row r="158" ht="25" customHeight="1">
      <x:c r="A158" s="3" t="str">
        <x:v>INSULET CORPORATION</x:v>
      </x:c>
      <x:c r="B158" s="3" t="str">
        <x:v>2025-01-01~2025-06-30</x:v>
      </x:c>
      <x:c r="C158" s="3" t="str">
        <x:v>2025-06-30</x:v>
      </x:c>
      <x:c r="D158" s="3" t="str">
        <x:v>LTM EBITDA</x:v>
      </x:c>
      <x:c r="E158" s="6" t="str">
        <x:f>'計算底稿'!P19</x:f>
        <x:v>資料不足</x:v>
      </x:c>
      <x:c r="F158" s="3" t="str">
        <x:v>USD  million</x:v>
      </x:c>
      <x:c r="G158" s="3" t="str">
        <x:v>推算值</x:v>
      </x:c>
      <x:c r="H158" s="3" t="str">
        <x:v>Report1!I111, Report1!I106, Report1!I121</x:v>
      </x:c>
      <x:c r="I158" s="3" t="str">
        <x:v>全年：當年EBITDA；期中：前全年＋本YTD−前YTD</x:v>
      </x:c>
      <x:c r="J158" s="3" t="str">
        <x:v>計算底稿!P19</x:v>
      </x:c>
      <x:c r="K158" s="3" t="str">
        <x:v>期中缺前同期則資料不足；不採YTD×2或×4。</x:v>
      </x:c>
      <x:c r="L158" s="3" t="str">
        <x:v>/Users/yuntzuyu/Downloads/e-loan/Quarter/e-Loan YQYQ-Insulet Q2.xls</x:v>
      </x:c>
    </x:row>
    <x:row r="159" ht="25" customHeight="1">
      <x:c r="A159" s="3" t="str">
        <x:v>INSULET CORPORATION</x:v>
      </x:c>
      <x:c r="B159" s="3" t="str">
        <x:v>2025-01-01~2025-06-30</x:v>
      </x:c>
      <x:c r="C159" s="3" t="str">
        <x:v>2025-06-30</x:v>
      </x:c>
      <x:c r="D159" s="3" t="str">
        <x:v>Total leverage ratio</x:v>
      </x:c>
      <x:c r="E159" s="8" t="str">
        <x:f>'計算底稿'!Q19</x:f>
        <x:v>資料不足</x:v>
      </x:c>
      <x:c r="F159" s="3" t="str">
        <x:v>倍</x:v>
      </x:c>
      <x:c r="G159" s="3" t="str">
        <x:v>推算值／非契約倍數</x:v>
      </x:c>
      <x:c r="H159" s="3" t="str">
        <x:v>Report1!I41, Report1!I43, Report1!I55, Report1!I56, Report1!I111, Report1!I106, Report1!I121</x:v>
      </x:c>
      <x:c r="I159" s="3" t="str">
        <x:v>期末列示債務合計÷LTM EBITDA</x:v>
      </x:c>
      <x:c r="J159" s="3" t="str">
        <x:v>計算底稿!Q19</x:v>
      </x:c>
      <x:c r="K159" s="3" t="str">
        <x:v>未扣現金；不含未辨識租賃；EBITDA≤0時標示不具意義。</x:v>
      </x:c>
      <x:c r="L159" s="3" t="str">
        <x:v>/Users/yuntzuyu/Downloads/e-loan/Quarter/e-Loan YQYQ-Insulet Q2.xls</x:v>
      </x:c>
    </x:row>
    <x:row r="160" ht="25" customHeight="1">
      <x:c r="A160" s="3" t="str">
        <x:v>INSULET CORPORATION</x:v>
      </x:c>
      <x:c r="B160" s="3" t="str">
        <x:v>2025-01-01~2025-12-31</x:v>
      </x:c>
      <x:c r="C160" s="3" t="str">
        <x:v>2025-12-31</x:v>
      </x:c>
      <x:c r="D160" s="3" t="str">
        <x:v>Cost of revenues</x:v>
      </x:c>
      <x:c r="E160" s="6" t="n">
        <x:f>'計算底稿'!F20</x:f>
        <x:v>768</x:v>
      </x:c>
      <x:c r="F160" s="3" t="str">
        <x:v>USD  million</x:v>
      </x:c>
      <x:c r="G160" s="3" t="str">
        <x:v>原始報表數字</x:v>
      </x:c>
      <x:c r="H160" s="3" t="str">
        <x:v>Report1!M86</x:v>
      </x:c>
      <x:c r="I160" s="3" t="str">
        <x:v>營收−毛利（驗算）</x:v>
      </x:c>
      <x:c r="J160" s="3" t="str">
        <x:v>計算底稿!F20</x:v>
      </x:c>
      <x:c r="K160" s="3" t="str">
        <x:v>對應Operating Cost/COGS；缺成本細項。</x:v>
      </x:c>
      <x:c r="L160" s="3" t="str">
        <x:v>/Users/yuntzuyu/Downloads/e-loan/Quarter/e-Loan YQYQ-Insulet Q2.xls</x:v>
      </x:c>
    </x:row>
    <x:row r="161" ht="25" customHeight="1">
      <x:c r="A161" s="3" t="str">
        <x:v>INSULET CORPORATION</x:v>
      </x:c>
      <x:c r="B161" s="3" t="str">
        <x:v>2025-01-01~2025-12-31</x:v>
      </x:c>
      <x:c r="C161" s="3" t="str">
        <x:v>2025-12-31</x:v>
      </x:c>
      <x:c r="D161" s="3" t="str">
        <x:v>Gross profit</x:v>
      </x:c>
      <x:c r="E161" s="6" t="n">
        <x:f>'計算底稿'!G20</x:f>
        <x:v>1940</x:v>
      </x:c>
      <x:c r="F161" s="3" t="str">
        <x:v>USD  million</x:v>
      </x:c>
      <x:c r="G161" s="3" t="str">
        <x:v>原始報表數字</x:v>
      </x:c>
      <x:c r="H161" s="3" t="str">
        <x:v>Report1!M94, Report1!M80, Report1!M86</x:v>
      </x:c>
      <x:c r="I161" s="3" t="str">
        <x:v>營收−營收成本</x:v>
      </x:c>
      <x:c r="J161" s="3" t="str">
        <x:v>計算底稿!G20</x:v>
      </x:c>
      <x:c r="K161" s="3" t="str">
        <x:v>原值與驗算一致。</x:v>
      </x:c>
      <x:c r="L161" s="3" t="str">
        <x:v>/Users/yuntzuyu/Downloads/e-loan/Quarter/e-Loan YQYQ-Insulet Q2.xls</x:v>
      </x:c>
    </x:row>
    <x:row r="162" ht="25" customHeight="1">
      <x:c r="A162" s="3" t="str">
        <x:v>INSULET CORPORATION</x:v>
      </x:c>
      <x:c r="B162" s="3" t="str">
        <x:v>2025-01-01~2025-12-31</x:v>
      </x:c>
      <x:c r="C162" s="3" t="str">
        <x:v>2025-12-31</x:v>
      </x:c>
      <x:c r="D162" s="3" t="str">
        <x:v>Operating expense</x:v>
      </x:c>
      <x:c r="E162" s="6" t="n">
        <x:f>'計算底稿'!H20</x:f>
        <x:v>1466</x:v>
      </x:c>
      <x:c r="F162" s="3" t="str">
        <x:v>USD  million</x:v>
      </x:c>
      <x:c r="G162" s="3" t="str">
        <x:v>原始報表數字</x:v>
      </x:c>
      <x:c r="H162" s="3" t="str">
        <x:v>Report1!M96, Report1!M94, Report1!M97</x:v>
      </x:c>
      <x:c r="I162" s="3" t="str">
        <x:v>毛利−營業利益（驗算）</x:v>
      </x:c>
      <x:c r="J162" s="3" t="str">
        <x:v>計算底稿!H20</x:v>
      </x:c>
      <x:c r="K162" s="3" t="str">
        <x:v>缺銷管、研發、減損等細分。</x:v>
      </x:c>
      <x:c r="L162" s="3" t="str">
        <x:v>/Users/yuntzuyu/Downloads/e-loan/Quarter/e-Loan YQYQ-Insulet Q2.xls</x:v>
      </x:c>
    </x:row>
    <x:row r="163" ht="25" customHeight="1">
      <x:c r="A163" s="3" t="str">
        <x:v>INSULET CORPORATION</x:v>
      </x:c>
      <x:c r="B163" s="3" t="str">
        <x:v>2025-01-01~2025-12-31</x:v>
      </x:c>
      <x:c r="C163" s="3" t="str">
        <x:v>2025-12-31</x:v>
      </x:c>
      <x:c r="D163" s="3" t="str">
        <x:v>Interest expense</x:v>
      </x:c>
      <x:c r="E163" s="6" t="n">
        <x:f>'計算底稿'!I20</x:f>
        <x:v>60</x:v>
      </x:c>
      <x:c r="F163" s="3" t="str">
        <x:v>USD  million</x:v>
      </x:c>
      <x:c r="G163" s="3" t="str">
        <x:v>原始報表數字</x:v>
      </x:c>
      <x:c r="H163" s="3" t="str">
        <x:v>Report1!M106</x:v>
      </x:c>
      <x:c r="I163" s="3" t="str">
        <x:v>直接取原報表第106列</x:v>
      </x:c>
      <x:c r="J163" s="3" t="str">
        <x:v>計算底稿!I20</x:v>
      </x:c>
      <x:c r="K163" s="3" t="str">
        <x:v>屬應計費用；不是現金付息，也不以期末債務×利率替代。</x:v>
      </x:c>
      <x:c r="L163" s="3" t="str">
        <x:v>/Users/yuntzuyu/Downloads/e-loan/Quarter/e-Loan YQYQ-Insulet Q2.xls</x:v>
      </x:c>
    </x:row>
    <x:row r="164" ht="25" customHeight="1">
      <x:c r="A164" s="3" t="str">
        <x:v>INSULET CORPORATION</x:v>
      </x:c>
      <x:c r="B164" s="3" t="str">
        <x:v>2025-01-01~2025-12-31</x:v>
      </x:c>
      <x:c r="C164" s="3" t="str">
        <x:v>2025-12-31</x:v>
      </x:c>
      <x:c r="D164" s="3" t="str">
        <x:v>Quick ratio</x:v>
      </x:c>
      <x:c r="E164" s="7" t="n">
        <x:f>'計算底稿'!J20</x:f>
        <x:v>1.8132</x:v>
      </x:c>
      <x:c r="F164" s="3" t="str">
        <x:v>%</x:v>
      </x:c>
      <x:c r="G164" s="3" t="str">
        <x:v>原始報表數字</x:v>
      </x:c>
      <x:c r="H164" s="3" t="str">
        <x:v>Report1!M198, Report1!M11, Report1!M12, Report1!M13, Report1!M40</x:v>
      </x:c>
      <x:c r="I164" s="3" t="str">
        <x:v>(現金＋流動金融資產＋應收款項)÷流動負債</x:v>
      </x:c>
      <x:c r="J164" s="3" t="str">
        <x:v>計算底稿!J20</x:v>
      </x:c>
      <x:c r="K164" s="3" t="str">
        <x:v>原值為百分比；非直接以流動資產扣存貨。</x:v>
      </x:c>
      <x:c r="L164" s="3" t="str">
        <x:v>/Users/yuntzuyu/Downloads/e-loan/Quarter/e-Loan YQYQ-Insulet Q2.xls</x:v>
      </x:c>
    </x:row>
    <x:row r="165" ht="25" customHeight="1">
      <x:c r="A165" s="3" t="str">
        <x:v>INSULET CORPORATION</x:v>
      </x:c>
      <x:c r="B165" s="3" t="str">
        <x:v>2025-01-01~2025-12-31</x:v>
      </x:c>
      <x:c r="C165" s="3" t="str">
        <x:v>2025-12-31</x:v>
      </x:c>
      <x:c r="D165" s="3" t="str">
        <x:v>Debt ratio</x:v>
      </x:c>
      <x:c r="E165" s="7" t="n">
        <x:f>'計算底稿'!K20</x:f>
        <x:v>1.1056</x:v>
      </x:c>
      <x:c r="F165" s="3" t="str">
        <x:v>%</x:v>
      </x:c>
      <x:c r="G165" s="3" t="str">
        <x:v>原始報表數字</x:v>
      </x:c>
      <x:c r="H165" s="3" t="str">
        <x:v>Report1!M203, Report1!M62, Report1!M70</x:v>
      </x:c>
      <x:c r="I165" s="3" t="str">
        <x:v>總負債÷淨值</x:v>
      </x:c>
      <x:c r="J165" s="3" t="str">
        <x:v>計算底稿!K20</x:v>
      </x:c>
      <x:c r="K165" s="3" t="str">
        <x:v>實際為負債淨值比；非負債資產比，亦非有息債務比。</x:v>
      </x:c>
      <x:c r="L165" s="3" t="str">
        <x:v>/Users/yuntzuyu/Downloads/e-loan/Quarter/e-Loan YQYQ-Insulet Q2.xls</x:v>
      </x:c>
    </x:row>
    <x:row r="166" ht="25" customHeight="1">
      <x:c r="A166" s="3" t="str">
        <x:v>INSULET CORPORATION</x:v>
      </x:c>
      <x:c r="B166" s="3" t="str">
        <x:v>2025-01-01~2025-12-31</x:v>
      </x:c>
      <x:c r="C166" s="3" t="str">
        <x:v>2025-12-31</x:v>
      </x:c>
      <x:c r="D166" s="3" t="str">
        <x:v>Total debt</x:v>
      </x:c>
      <x:c r="E166" s="6" t="n">
        <x:f>'計算底稿'!L20</x:f>
        <x:v>933</x:v>
      </x:c>
      <x:c r="F166" s="3" t="str">
        <x:v>USD  million</x:v>
      </x:c>
      <x:c r="G166" s="3" t="str">
        <x:v>推算值／列示項目小計</x:v>
      </x:c>
      <x:c r="H166" s="3" t="str">
        <x:v>Report1!M41, Report1!M43, Report1!M55, Report1!M56</x:v>
      </x:c>
      <x:c r="I166" s="3" t="str">
        <x:v>短期借款＋一年內到期長債＋長期銀行借款＋公司債</x:v>
      </x:c>
      <x:c r="J166" s="3" t="str">
        <x:v>計算底稿!L20</x:v>
      </x:c>
      <x:c r="K166" s="3" t="str">
        <x:v>空白項未計入；租賃等未另加，非契約確認總債務。</x:v>
      </x:c>
      <x:c r="L166" s="3" t="str">
        <x:v>/Users/yuntzuyu/Downloads/e-loan/Quarter/e-Loan YQYQ-Insulet Q2.xls</x:v>
      </x:c>
    </x:row>
    <x:row r="167" ht="25" customHeight="1">
      <x:c r="A167" s="3" t="str">
        <x:v>INSULET CORPORATION</x:v>
      </x:c>
      <x:c r="B167" s="3" t="str">
        <x:v>2025-01-01~2025-12-31</x:v>
      </x:c>
      <x:c r="C167" s="3" t="str">
        <x:v>2025-12-31</x:v>
      </x:c>
      <x:c r="D167" s="3" t="str">
        <x:v>EBITDA（報表口徑）</x:v>
      </x:c>
      <x:c r="E167" s="6" t="n">
        <x:f>'計算底稿'!M20</x:f>
        <x:v>489</x:v>
      </x:c>
      <x:c r="F167" s="3" t="str">
        <x:v>USD  million</x:v>
      </x:c>
      <x:c r="G167" s="3" t="str">
        <x:v>推算值</x:v>
      </x:c>
      <x:c r="H167" s="3" t="str">
        <x:v>Report1!M111, Report1!M106, Report1!M121, Report1!M201</x:v>
      </x:c>
      <x:c r="I167" s="3" t="str">
        <x:v>稅前損益＋利息費用＋折舊攤銷</x:v>
      </x:c>
      <x:c r="J167" s="3" t="str">
        <x:v>計算底稿!M20</x:v>
      </x:c>
      <x:c r="K167" s="3" t="str">
        <x:v>可重現原表EBITDA/Interest；含業外損益。</x:v>
      </x:c>
      <x:c r="L167" s="3" t="str">
        <x:v>/Users/yuntzuyu/Downloads/e-loan/Quarter/e-Loan YQYQ-Insulet Q2.xls</x:v>
      </x:c>
    </x:row>
    <x:row r="168" ht="25" customHeight="1">
      <x:c r="A168" s="3" t="str">
        <x:v>INSULET CORPORATION</x:v>
      </x:c>
      <x:c r="B168" s="3" t="str">
        <x:v>2025-01-01~2025-12-31</x:v>
      </x:c>
      <x:c r="C168" s="3" t="str">
        <x:v>2025-12-31</x:v>
      </x:c>
      <x:c r="D168" s="3" t="str">
        <x:v>EBITDA basis</x:v>
      </x:c>
      <x:c r="E168" s="3" t="str">
        <x:v>稅前損益＋利息＋折舊攤銷</x:v>
      </x:c>
      <x:c r="F168" s="3" t="str">
        <x:v>文字</x:v>
      </x:c>
      <x:c r="G168" s="3" t="str">
        <x:v>口徑說明</x:v>
      </x:c>
      <x:c r="H168" s="3" t="str">
        <x:v>Report1!M111, Report1!M106, Report1!M121</x:v>
      </x:c>
      <x:c r="I168" s="3" t="str">
        <x:v>稅前損益＋利息費用＋折舊攤銷</x:v>
      </x:c>
      <x:c r="J168" s="3" t="str">
        <x:v>計算底稿!M20</x:v>
      </x:c>
      <x:c r="K168" s="3" t="str">
        <x:v>本列為文字定義；不代表Adjusted或契約EBITDA。</x:v>
      </x:c>
      <x:c r="L168" s="3" t="str">
        <x:v>/Users/yuntzuyu/Downloads/e-loan/Quarter/e-Loan YQYQ-Insulet Q2.xls</x:v>
      </x:c>
    </x:row>
    <x:row r="169" ht="25" customHeight="1">
      <x:c r="A169" s="3" t="str">
        <x:v>INSULET CORPORATION</x:v>
      </x:c>
      <x:c r="B169" s="3" t="str">
        <x:v>2025-01-01~2025-12-31</x:v>
      </x:c>
      <x:c r="C169" s="3" t="str">
        <x:v>2025-12-31</x:v>
      </x:c>
      <x:c r="D169" s="3" t="str">
        <x:v>LTM EBITDA</x:v>
      </x:c>
      <x:c r="E169" s="6" t="n">
        <x:f>'計算底稿'!P20</x:f>
        <x:v>489</x:v>
      </x:c>
      <x:c r="F169" s="3" t="str">
        <x:v>USD  million</x:v>
      </x:c>
      <x:c r="G169" s="3" t="str">
        <x:v>推算值</x:v>
      </x:c>
      <x:c r="H169" s="3" t="str">
        <x:v>Report1!M111, Report1!M106, Report1!M121</x:v>
      </x:c>
      <x:c r="I169" s="3" t="str">
        <x:v>全年：當年EBITDA；期中：前全年＋本YTD−前YTD</x:v>
      </x:c>
      <x:c r="J169" s="3" t="str">
        <x:v>計算底稿!P20</x:v>
      </x:c>
      <x:c r="K169" s="3" t="str">
        <x:v>期中缺前同期則資料不足；不採YTD×2或×4。</x:v>
      </x:c>
      <x:c r="L169" s="3" t="str">
        <x:v>/Users/yuntzuyu/Downloads/e-loan/Quarter/e-Loan YQYQ-Insulet Q2.xls</x:v>
      </x:c>
    </x:row>
    <x:row r="170" ht="25" customHeight="1">
      <x:c r="A170" s="3" t="str">
        <x:v>INSULET CORPORATION</x:v>
      </x:c>
      <x:c r="B170" s="3" t="str">
        <x:v>2025-01-01~2025-12-31</x:v>
      </x:c>
      <x:c r="C170" s="3" t="str">
        <x:v>2025-12-31</x:v>
      </x:c>
      <x:c r="D170" s="3" t="str">
        <x:v>Total leverage ratio</x:v>
      </x:c>
      <x:c r="E170" s="8" t="n">
        <x:f>'計算底稿'!Q20</x:f>
        <x:v>1.9079754601226995</x:v>
      </x:c>
      <x:c r="F170" s="3" t="str">
        <x:v>倍</x:v>
      </x:c>
      <x:c r="G170" s="3" t="str">
        <x:v>推算值／非契約倍數</x:v>
      </x:c>
      <x:c r="H170" s="3" t="str">
        <x:v>Report1!M41, Report1!M43, Report1!M55, Report1!M56, Report1!M111, Report1!M106, Report1!M121</x:v>
      </x:c>
      <x:c r="I170" s="3" t="str">
        <x:v>期末列示債務合計÷LTM EBITDA</x:v>
      </x:c>
      <x:c r="J170" s="3" t="str">
        <x:v>計算底稿!Q20</x:v>
      </x:c>
      <x:c r="K170" s="3" t="str">
        <x:v>未扣現金；不含未辨識租賃；EBITDA≤0時標示不具意義。</x:v>
      </x:c>
      <x:c r="L170" s="3" t="str">
        <x:v>/Users/yuntzuyu/Downloads/e-loan/Quarter/e-Loan YQYQ-Insulet Q2.xls</x:v>
      </x:c>
    </x:row>
    <x:row r="171" ht="25" customHeight="1">
      <x:c r="A171" s="3" t="str">
        <x:v>INSULET CORPORATION</x:v>
      </x:c>
      <x:c r="B171" s="3" t="str">
        <x:v>2026-01-01~2026-06-30</x:v>
      </x:c>
      <x:c r="C171" s="3" t="str">
        <x:v>2026-06-30</x:v>
      </x:c>
      <x:c r="D171" s="3" t="str">
        <x:v>Cost of revenues</x:v>
      </x:c>
      <x:c r="E171" s="6" t="n">
        <x:f>'計算底稿'!F21</x:f>
        <x:v>472</x:v>
      </x:c>
      <x:c r="F171" s="3" t="str">
        <x:v>USD  million</x:v>
      </x:c>
      <x:c r="G171" s="3" t="str">
        <x:v>原始報表數字</x:v>
      </x:c>
      <x:c r="H171" s="3" t="str">
        <x:v>Report1!R86</x:v>
      </x:c>
      <x:c r="I171" s="3" t="str">
        <x:v>營收−毛利（驗算）</x:v>
      </x:c>
      <x:c r="J171" s="3" t="str">
        <x:v>計算底稿!F21</x:v>
      </x:c>
      <x:c r="K171" s="3" t="str">
        <x:v>對應Operating Cost/COGS；缺成本細項。</x:v>
      </x:c>
      <x:c r="L171" s="3" t="str">
        <x:v>/Users/yuntzuyu/Downloads/e-loan/Quarter/e-Loan YQYQ-Insulet Q2.xls</x:v>
      </x:c>
    </x:row>
    <x:row r="172" ht="25" customHeight="1">
      <x:c r="A172" s="3" t="str">
        <x:v>INSULET CORPORATION</x:v>
      </x:c>
      <x:c r="B172" s="3" t="str">
        <x:v>2026-01-01~2026-06-30</x:v>
      </x:c>
      <x:c r="C172" s="3" t="str">
        <x:v>2026-06-30</x:v>
      </x:c>
      <x:c r="D172" s="3" t="str">
        <x:v>Gross profit</x:v>
      </x:c>
      <x:c r="E172" s="6" t="n">
        <x:f>'計算底稿'!G21</x:f>
        <x:v>1091</x:v>
      </x:c>
      <x:c r="F172" s="3" t="str">
        <x:v>USD  million</x:v>
      </x:c>
      <x:c r="G172" s="3" t="str">
        <x:v>原始報表數字</x:v>
      </x:c>
      <x:c r="H172" s="3" t="str">
        <x:v>Report1!R94, Report1!R80, Report1!R86</x:v>
      </x:c>
      <x:c r="I172" s="3" t="str">
        <x:v>營收−營收成本</x:v>
      </x:c>
      <x:c r="J172" s="3" t="str">
        <x:v>計算底稿!G21</x:v>
      </x:c>
      <x:c r="K172" s="3" t="str">
        <x:v>原值與驗算一致。</x:v>
      </x:c>
      <x:c r="L172" s="3" t="str">
        <x:v>/Users/yuntzuyu/Downloads/e-loan/Quarter/e-Loan YQYQ-Insulet Q2.xls</x:v>
      </x:c>
    </x:row>
    <x:row r="173" ht="25" customHeight="1">
      <x:c r="A173" s="3" t="str">
        <x:v>INSULET CORPORATION</x:v>
      </x:c>
      <x:c r="B173" s="3" t="str">
        <x:v>2026-01-01~2026-06-30</x:v>
      </x:c>
      <x:c r="C173" s="3" t="str">
        <x:v>2026-06-30</x:v>
      </x:c>
      <x:c r="D173" s="3" t="str">
        <x:v>Operating expense</x:v>
      </x:c>
      <x:c r="E173" s="6" t="n">
        <x:f>'計算底稿'!H21</x:f>
        <x:v>840</x:v>
      </x:c>
      <x:c r="F173" s="3" t="str">
        <x:v>USD  million</x:v>
      </x:c>
      <x:c r="G173" s="3" t="str">
        <x:v>原始報表數字</x:v>
      </x:c>
      <x:c r="H173" s="3" t="str">
        <x:v>Report1!R96, Report1!R94, Report1!R97</x:v>
      </x:c>
      <x:c r="I173" s="3" t="str">
        <x:v>毛利−營業利益（驗算）</x:v>
      </x:c>
      <x:c r="J173" s="3" t="str">
        <x:v>計算底稿!H21</x:v>
      </x:c>
      <x:c r="K173" s="3" t="str">
        <x:v>缺銷管、研發、減損等細分。</x:v>
      </x:c>
      <x:c r="L173" s="3" t="str">
        <x:v>/Users/yuntzuyu/Downloads/e-loan/Quarter/e-Loan YQYQ-Insulet Q2.xls</x:v>
      </x:c>
    </x:row>
    <x:row r="174" ht="25" customHeight="1">
      <x:c r="A174" s="3" t="str">
        <x:v>INSULET CORPORATION</x:v>
      </x:c>
      <x:c r="B174" s="3" t="str">
        <x:v>2026-01-01~2026-06-30</x:v>
      </x:c>
      <x:c r="C174" s="3" t="str">
        <x:v>2026-06-30</x:v>
      </x:c>
      <x:c r="D174" s="3" t="str">
        <x:v>Interest expense</x:v>
      </x:c>
      <x:c r="E174" s="6" t="n">
        <x:f>'計算底稿'!I21</x:f>
        <x:v>28</x:v>
      </x:c>
      <x:c r="F174" s="3" t="str">
        <x:v>USD  million</x:v>
      </x:c>
      <x:c r="G174" s="3" t="str">
        <x:v>原始報表數字</x:v>
      </x:c>
      <x:c r="H174" s="3" t="str">
        <x:v>Report1!R106</x:v>
      </x:c>
      <x:c r="I174" s="3" t="str">
        <x:v>直接取原報表第106列</x:v>
      </x:c>
      <x:c r="J174" s="3" t="str">
        <x:v>計算底稿!I21</x:v>
      </x:c>
      <x:c r="K174" s="3" t="str">
        <x:v>屬應計費用；不是現金付息，也不以期末債務×利率替代。</x:v>
      </x:c>
      <x:c r="L174" s="3" t="str">
        <x:v>/Users/yuntzuyu/Downloads/e-loan/Quarter/e-Loan YQYQ-Insulet Q2.xls</x:v>
      </x:c>
    </x:row>
    <x:row r="175" ht="25" customHeight="1">
      <x:c r="A175" s="3" t="str">
        <x:v>INSULET CORPORATION</x:v>
      </x:c>
      <x:c r="B175" s="3" t="str">
        <x:v>2026-01-01~2026-06-30</x:v>
      </x:c>
      <x:c r="C175" s="3" t="str">
        <x:v>2026-06-30</x:v>
      </x:c>
      <x:c r="D175" s="3" t="str">
        <x:v>Quick ratio</x:v>
      </x:c>
      <x:c r="E175" s="7" t="n">
        <x:f>'計算底稿'!J21</x:f>
        <x:v>1.5108000000000001</x:v>
      </x:c>
      <x:c r="F175" s="3" t="str">
        <x:v>%</x:v>
      </x:c>
      <x:c r="G175" s="3" t="str">
        <x:v>原始報表數字</x:v>
      </x:c>
      <x:c r="H175" s="3" t="str">
        <x:v>Report1!R198, Report1!R11, Report1!R12, Report1!R13, Report1!R40</x:v>
      </x:c>
      <x:c r="I175" s="3" t="str">
        <x:v>(現金＋流動金融資產＋應收款項)÷流動負債</x:v>
      </x:c>
      <x:c r="J175" s="3" t="str">
        <x:v>計算底稿!J21</x:v>
      </x:c>
      <x:c r="K175" s="3" t="str">
        <x:v>原值為百分比；非直接以流動資產扣存貨。</x:v>
      </x:c>
      <x:c r="L175" s="3" t="str">
        <x:v>/Users/yuntzuyu/Downloads/e-loan/Quarter/e-Loan YQYQ-Insulet Q2.xls</x:v>
      </x:c>
    </x:row>
    <x:row r="176" ht="25" customHeight="1">
      <x:c r="A176" s="3" t="str">
        <x:v>INSULET CORPORATION</x:v>
      </x:c>
      <x:c r="B176" s="3" t="str">
        <x:v>2026-01-01~2026-06-30</x:v>
      </x:c>
      <x:c r="C176" s="3" t="str">
        <x:v>2026-06-30</x:v>
      </x:c>
      <x:c r="D176" s="3" t="str">
        <x:v>Debt ratio</x:v>
      </x:c>
      <x:c r="E176" s="7" t="n">
        <x:f>'計算底稿'!K21</x:f>
        <x:v>1.2257</x:v>
      </x:c>
      <x:c r="F176" s="3" t="str">
        <x:v>%</x:v>
      </x:c>
      <x:c r="G176" s="3" t="str">
        <x:v>原始報表數字</x:v>
      </x:c>
      <x:c r="H176" s="3" t="str">
        <x:v>Report1!R203, Report1!R62, Report1!R70</x:v>
      </x:c>
      <x:c r="I176" s="3" t="str">
        <x:v>總負債÷淨值</x:v>
      </x:c>
      <x:c r="J176" s="3" t="str">
        <x:v>計算底稿!K21</x:v>
      </x:c>
      <x:c r="K176" s="3" t="str">
        <x:v>實際為負債淨值比；非負債資產比，亦非有息債務比。</x:v>
      </x:c>
      <x:c r="L176" s="3" t="str">
        <x:v>/Users/yuntzuyu/Downloads/e-loan/Quarter/e-Loan YQYQ-Insulet Q2.xls</x:v>
      </x:c>
    </x:row>
    <x:row r="177" ht="25" customHeight="1">
      <x:c r="A177" s="3" t="str">
        <x:v>INSULET CORPORATION</x:v>
      </x:c>
      <x:c r="B177" s="3" t="str">
        <x:v>2026-01-01~2026-06-30</x:v>
      </x:c>
      <x:c r="C177" s="3" t="str">
        <x:v>2026-06-30</x:v>
      </x:c>
      <x:c r="D177" s="3" t="str">
        <x:v>Total debt</x:v>
      </x:c>
      <x:c r="E177" s="6" t="n">
        <x:f>'計算底稿'!L21</x:f>
        <x:v>932</x:v>
      </x:c>
      <x:c r="F177" s="3" t="str">
        <x:v>USD  million</x:v>
      </x:c>
      <x:c r="G177" s="3" t="str">
        <x:v>推算值／列示項目小計</x:v>
      </x:c>
      <x:c r="H177" s="3" t="str">
        <x:v>Report1!R41, Report1!R43, Report1!R55, Report1!R56</x:v>
      </x:c>
      <x:c r="I177" s="3" t="str">
        <x:v>短期借款＋一年內到期長債＋長期銀行借款＋公司債</x:v>
      </x:c>
      <x:c r="J177" s="3" t="str">
        <x:v>計算底稿!L21</x:v>
      </x:c>
      <x:c r="K177" s="3" t="str">
        <x:v>空白項未計入；租賃等未另加，非契約確認總債務。</x:v>
      </x:c>
      <x:c r="L177" s="3" t="str">
        <x:v>/Users/yuntzuyu/Downloads/e-loan/Quarter/e-Loan YQYQ-Insulet Q2.xls</x:v>
      </x:c>
    </x:row>
    <x:row r="178" ht="25" customHeight="1">
      <x:c r="A178" s="3" t="str">
        <x:v>INSULET CORPORATION</x:v>
      </x:c>
      <x:c r="B178" s="3" t="str">
        <x:v>2026-01-01~2026-06-30</x:v>
      </x:c>
      <x:c r="C178" s="3" t="str">
        <x:v>2026-06-30</x:v>
      </x:c>
      <x:c r="D178" s="3" t="str">
        <x:v>EBITDA（報表口徑）</x:v>
      </x:c>
      <x:c r="E178" s="6" t="n">
        <x:f>'計算底稿'!M21</x:f>
        <x:v>313</x:v>
      </x:c>
      <x:c r="F178" s="3" t="str">
        <x:v>USD  million</x:v>
      </x:c>
      <x:c r="G178" s="3" t="str">
        <x:v>推算值</x:v>
      </x:c>
      <x:c r="H178" s="3" t="str">
        <x:v>Report1!R111, Report1!R106, Report1!R121, Report1!R201</x:v>
      </x:c>
      <x:c r="I178" s="3" t="str">
        <x:v>稅前損益＋利息費用＋折舊攤銷</x:v>
      </x:c>
      <x:c r="J178" s="3" t="str">
        <x:v>計算底稿!M21</x:v>
      </x:c>
      <x:c r="K178" s="3" t="str">
        <x:v>可重現原表EBITDA/Interest；含業外損益。</x:v>
      </x:c>
      <x:c r="L178" s="3" t="str">
        <x:v>/Users/yuntzuyu/Downloads/e-loan/Quarter/e-Loan YQYQ-Insulet Q2.xls</x:v>
      </x:c>
    </x:row>
    <x:row r="179" ht="25" customHeight="1">
      <x:c r="A179" s="3" t="str">
        <x:v>INSULET CORPORATION</x:v>
      </x:c>
      <x:c r="B179" s="3" t="str">
        <x:v>2026-01-01~2026-06-30</x:v>
      </x:c>
      <x:c r="C179" s="3" t="str">
        <x:v>2026-06-30</x:v>
      </x:c>
      <x:c r="D179" s="3" t="str">
        <x:v>EBITDA basis</x:v>
      </x:c>
      <x:c r="E179" s="3" t="str">
        <x:v>稅前損益＋利息＋折舊攤銷</x:v>
      </x:c>
      <x:c r="F179" s="3" t="str">
        <x:v>文字</x:v>
      </x:c>
      <x:c r="G179" s="3" t="str">
        <x:v>口徑說明</x:v>
      </x:c>
      <x:c r="H179" s="3" t="str">
        <x:v>Report1!R111, Report1!R106, Report1!R121</x:v>
      </x:c>
      <x:c r="I179" s="3" t="str">
        <x:v>稅前損益＋利息費用＋折舊攤銷</x:v>
      </x:c>
      <x:c r="J179" s="3" t="str">
        <x:v>計算底稿!M21</x:v>
      </x:c>
      <x:c r="K179" s="3" t="str">
        <x:v>本列為文字定義；不代表Adjusted或契約EBITDA。</x:v>
      </x:c>
      <x:c r="L179" s="3" t="str">
        <x:v>/Users/yuntzuyu/Downloads/e-loan/Quarter/e-Loan YQYQ-Insulet Q2.xls</x:v>
      </x:c>
    </x:row>
    <x:row r="180" ht="25" customHeight="1">
      <x:c r="A180" s="3" t="str">
        <x:v>INSULET CORPORATION</x:v>
      </x:c>
      <x:c r="B180" s="3" t="str">
        <x:v>2026-01-01~2026-06-30</x:v>
      </x:c>
      <x:c r="C180" s="3" t="str">
        <x:v>2026-06-30</x:v>
      </x:c>
      <x:c r="D180" s="3" t="str">
        <x:v>LTM EBITDA</x:v>
      </x:c>
      <x:c r="E180" s="6" t="n">
        <x:f>'計算底稿'!P21</x:f>
        <x:v>653</x:v>
      </x:c>
      <x:c r="F180" s="3" t="str">
        <x:v>USD  million</x:v>
      </x:c>
      <x:c r="G180" s="3" t="str">
        <x:v>推算值</x:v>
      </x:c>
      <x:c r="H180" s="3" t="str">
        <x:v>Report1!R111, Report1!R106, Report1!R121；EBITDA另取M、I欄第111/106/121列</x:v>
      </x:c>
      <x:c r="I180" s="3" t="str">
        <x:v>全年：當年EBITDA；期中：前全年＋本YTD−前YTD</x:v>
      </x:c>
      <x:c r="J180" s="3" t="str">
        <x:v>計算底稿!P21</x:v>
      </x:c>
      <x:c r="K180" s="3" t="str">
        <x:v>期中缺前同期則資料不足；不採YTD×2或×4。</x:v>
      </x:c>
      <x:c r="L180" s="3" t="str">
        <x:v>/Users/yuntzuyu/Downloads/e-loan/Quarter/e-Loan YQYQ-Insulet Q2.xls</x:v>
      </x:c>
    </x:row>
    <x:row r="181" ht="25" customHeight="1">
      <x:c r="A181" s="3" t="str">
        <x:v>INSULET CORPORATION</x:v>
      </x:c>
      <x:c r="B181" s="3" t="str">
        <x:v>2026-01-01~2026-06-30</x:v>
      </x:c>
      <x:c r="C181" s="3" t="str">
        <x:v>2026-06-30</x:v>
      </x:c>
      <x:c r="D181" s="3" t="str">
        <x:v>Total leverage ratio</x:v>
      </x:c>
      <x:c r="E181" s="8" t="n">
        <x:f>'計算底稿'!Q21</x:f>
        <x:v>1.4272588055130169</x:v>
      </x:c>
      <x:c r="F181" s="3" t="str">
        <x:v>倍</x:v>
      </x:c>
      <x:c r="G181" s="3" t="str">
        <x:v>推算值／非契約倍數</x:v>
      </x:c>
      <x:c r="H181" s="3" t="str">
        <x:v>Report1!R41, Report1!R43, Report1!R55, Report1!R56, Report1!R111, Report1!R106, Report1!R121；EBITDA另取M、I欄第111/106/121列</x:v>
      </x:c>
      <x:c r="I181" s="3" t="str">
        <x:v>期末列示債務合計÷LTM EBITDA</x:v>
      </x:c>
      <x:c r="J181" s="3" t="str">
        <x:v>計算底稿!Q21</x:v>
      </x:c>
      <x:c r="K181" s="3" t="str">
        <x:v>未扣現金；不含未辨識租賃；EBITDA≤0時標示不具意義。</x:v>
      </x:c>
      <x:c r="L181" s="3" t="str">
        <x:v>/Users/yuntzuyu/Downloads/e-loan/Quarter/e-Loan YQYQ-Insulet Q2.xls</x:v>
      </x:c>
    </x:row>
    <x:row r="182" ht="25" customHeight="1">
      <x:c r="A182" s="3" t="str">
        <x:v>TRANSUNION</x:v>
      </x:c>
      <x:c r="B182" s="3" t="str">
        <x:v>2024-01-01~2024-12-31</x:v>
      </x:c>
      <x:c r="C182" s="3" t="str">
        <x:v>2024-12-31</x:v>
      </x:c>
      <x:c r="D182" s="3" t="str">
        <x:v>Cost of revenues</x:v>
      </x:c>
      <x:c r="E182" s="6" t="n">
        <x:f>'計算底稿'!F22</x:f>
        <x:v>1673</x:v>
      </x:c>
      <x:c r="F182" s="3" t="str">
        <x:v>USD  million</x:v>
      </x:c>
      <x:c r="G182" s="3" t="str">
        <x:v>原始報表數字</x:v>
      </x:c>
      <x:c r="H182" s="3" t="str">
        <x:v>Report1!D86</x:v>
      </x:c>
      <x:c r="I182" s="3" t="str">
        <x:v>營收−毛利（驗算）</x:v>
      </x:c>
      <x:c r="J182" s="3" t="str">
        <x:v>計算底稿!F22</x:v>
      </x:c>
      <x:c r="K182" s="3" t="str">
        <x:v>對應Operating Cost/COGS；缺成本細項。</x:v>
      </x:c>
      <x:c r="L182" s="3" t="str">
        <x:v>/Users/yuntzuyu/Downloads/e-loan/Quarter/e-Loan YQYQ-TransUnion Q1.xls</x:v>
      </x:c>
    </x:row>
    <x:row r="183" ht="25" customHeight="1">
      <x:c r="A183" s="3" t="str">
        <x:v>TRANSUNION</x:v>
      </x:c>
      <x:c r="B183" s="3" t="str">
        <x:v>2024-01-01~2024-12-31</x:v>
      </x:c>
      <x:c r="C183" s="3" t="str">
        <x:v>2024-12-31</x:v>
      </x:c>
      <x:c r="D183" s="3" t="str">
        <x:v>Gross profit</x:v>
      </x:c>
      <x:c r="E183" s="6" t="n">
        <x:f>'計算底稿'!G22</x:f>
        <x:v>2511</x:v>
      </x:c>
      <x:c r="F183" s="3" t="str">
        <x:v>USD  million</x:v>
      </x:c>
      <x:c r="G183" s="3" t="str">
        <x:v>原始報表數字</x:v>
      </x:c>
      <x:c r="H183" s="3" t="str">
        <x:v>Report1!D94, Report1!D80, Report1!D86</x:v>
      </x:c>
      <x:c r="I183" s="3" t="str">
        <x:v>營收−營收成本</x:v>
      </x:c>
      <x:c r="J183" s="3" t="str">
        <x:v>計算底稿!G22</x:v>
      </x:c>
      <x:c r="K183" s="3" t="str">
        <x:v>原值與驗算一致。</x:v>
      </x:c>
      <x:c r="L183" s="3" t="str">
        <x:v>/Users/yuntzuyu/Downloads/e-loan/Quarter/e-Loan YQYQ-TransUnion Q1.xls</x:v>
      </x:c>
    </x:row>
    <x:row r="184" ht="25" customHeight="1">
      <x:c r="A184" s="3" t="str">
        <x:v>TRANSUNION</x:v>
      </x:c>
      <x:c r="B184" s="3" t="str">
        <x:v>2024-01-01~2024-12-31</x:v>
      </x:c>
      <x:c r="C184" s="3" t="str">
        <x:v>2024-12-31</x:v>
      </x:c>
      <x:c r="D184" s="3" t="str">
        <x:v>Operating expense</x:v>
      </x:c>
      <x:c r="E184" s="6" t="n">
        <x:f>'計算底稿'!H22</x:f>
        <x:v>1844</x:v>
      </x:c>
      <x:c r="F184" s="3" t="str">
        <x:v>USD  million</x:v>
      </x:c>
      <x:c r="G184" s="3" t="str">
        <x:v>原始報表數字</x:v>
      </x:c>
      <x:c r="H184" s="3" t="str">
        <x:v>Report1!D96, Report1!D94, Report1!D97</x:v>
      </x:c>
      <x:c r="I184" s="3" t="str">
        <x:v>毛利−營業利益（驗算）</x:v>
      </x:c>
      <x:c r="J184" s="3" t="str">
        <x:v>計算底稿!H22</x:v>
      </x:c>
      <x:c r="K184" s="3" t="str">
        <x:v>缺銷管、研發、減損等細分。</x:v>
      </x:c>
      <x:c r="L184" s="3" t="str">
        <x:v>/Users/yuntzuyu/Downloads/e-loan/Quarter/e-Loan YQYQ-TransUnion Q1.xls</x:v>
      </x:c>
    </x:row>
    <x:row r="185" ht="25" customHeight="1">
      <x:c r="A185" s="3" t="str">
        <x:v>TRANSUNION</x:v>
      </x:c>
      <x:c r="B185" s="3" t="str">
        <x:v>2024-01-01~2024-12-31</x:v>
      </x:c>
      <x:c r="C185" s="3" t="str">
        <x:v>2024-12-31</x:v>
      </x:c>
      <x:c r="D185" s="3" t="str">
        <x:v>Interest expense</x:v>
      </x:c>
      <x:c r="E185" s="6" t="n">
        <x:f>'計算底稿'!I22</x:f>
        <x:v>265</x:v>
      </x:c>
      <x:c r="F185" s="3" t="str">
        <x:v>USD  million</x:v>
      </x:c>
      <x:c r="G185" s="3" t="str">
        <x:v>原始報表數字</x:v>
      </x:c>
      <x:c r="H185" s="3" t="str">
        <x:v>Report1!D106</x:v>
      </x:c>
      <x:c r="I185" s="3" t="str">
        <x:v>直接取原報表第106列</x:v>
      </x:c>
      <x:c r="J185" s="3" t="str">
        <x:v>計算底稿!I22</x:v>
      </x:c>
      <x:c r="K185" s="3" t="str">
        <x:v>屬應計費用；不是現金付息，也不以期末債務×利率替代。</x:v>
      </x:c>
      <x:c r="L185" s="3" t="str">
        <x:v>/Users/yuntzuyu/Downloads/e-loan/Quarter/e-Loan YQYQ-TransUnion Q1.xls</x:v>
      </x:c>
    </x:row>
    <x:row r="186" ht="25" customHeight="1">
      <x:c r="A186" s="3" t="str">
        <x:v>TRANSUNION</x:v>
      </x:c>
      <x:c r="B186" s="3" t="str">
        <x:v>2024-01-01~2024-12-31</x:v>
      </x:c>
      <x:c r="C186" s="3" t="str">
        <x:v>2024-12-31</x:v>
      </x:c>
      <x:c r="D186" s="3" t="str">
        <x:v>Quick ratio</x:v>
      </x:c>
      <x:c r="E186" s="7" t="n">
        <x:f>'計算底稿'!J22</x:f>
        <x:v>1.3953</x:v>
      </x:c>
      <x:c r="F186" s="3" t="str">
        <x:v>%</x:v>
      </x:c>
      <x:c r="G186" s="3" t="str">
        <x:v>原始報表數字</x:v>
      </x:c>
      <x:c r="H186" s="3" t="str">
        <x:v>Report1!D198, Report1!D11, Report1!D12, Report1!D13, Report1!D40</x:v>
      </x:c>
      <x:c r="I186" s="3" t="str">
        <x:v>(現金＋流動金融資產＋應收款項)÷流動負債</x:v>
      </x:c>
      <x:c r="J186" s="3" t="str">
        <x:v>計算底稿!J22</x:v>
      </x:c>
      <x:c r="K186" s="3" t="str">
        <x:v>原值為百分比；非直接以流動資產扣存貨。</x:v>
      </x:c>
      <x:c r="L186" s="3" t="str">
        <x:v>/Users/yuntzuyu/Downloads/e-loan/Quarter/e-Loan YQYQ-TransUnion Q1.xls</x:v>
      </x:c>
    </x:row>
    <x:row r="187" ht="25" customHeight="1">
      <x:c r="A187" s="3" t="str">
        <x:v>TRANSUNION</x:v>
      </x:c>
      <x:c r="B187" s="3" t="str">
        <x:v>2024-01-01~2024-12-31</x:v>
      </x:c>
      <x:c r="C187" s="3" t="str">
        <x:v>2024-12-31</x:v>
      </x:c>
      <x:c r="D187" s="3" t="str">
        <x:v>Debt ratio</x:v>
      </x:c>
      <x:c r="E187" s="7" t="n">
        <x:f>'計算底稿'!K22</x:f>
        <x:v>1.5444</x:v>
      </x:c>
      <x:c r="F187" s="3" t="str">
        <x:v>%</x:v>
      </x:c>
      <x:c r="G187" s="3" t="str">
        <x:v>原始報表數字</x:v>
      </x:c>
      <x:c r="H187" s="3" t="str">
        <x:v>Report1!D203, Report1!D62, Report1!D70</x:v>
      </x:c>
      <x:c r="I187" s="3" t="str">
        <x:v>總負債÷淨值</x:v>
      </x:c>
      <x:c r="J187" s="3" t="str">
        <x:v>計算底稿!K22</x:v>
      </x:c>
      <x:c r="K187" s="3" t="str">
        <x:v>實際為負債淨值比；非負債資產比，亦非有息債務比。</x:v>
      </x:c>
      <x:c r="L187" s="3" t="str">
        <x:v>/Users/yuntzuyu/Downloads/e-loan/Quarter/e-Loan YQYQ-TransUnion Q1.xls</x:v>
      </x:c>
    </x:row>
    <x:row r="188" ht="25" customHeight="1">
      <x:c r="A188" s="3" t="str">
        <x:v>TRANSUNION</x:v>
      </x:c>
      <x:c r="B188" s="3" t="str">
        <x:v>2024-01-01~2024-12-31</x:v>
      </x:c>
      <x:c r="C188" s="3" t="str">
        <x:v>2024-12-31</x:v>
      </x:c>
      <x:c r="D188" s="3" t="str">
        <x:v>Total debt</x:v>
      </x:c>
      <x:c r="E188" s="6" t="n">
        <x:f>'計算底稿'!L22</x:f>
        <x:v>5148</x:v>
      </x:c>
      <x:c r="F188" s="3" t="str">
        <x:v>USD  million</x:v>
      </x:c>
      <x:c r="G188" s="3" t="str">
        <x:v>推算值／列示項目小計</x:v>
      </x:c>
      <x:c r="H188" s="3" t="str">
        <x:v>Report1!D41, Report1!D43, Report1!D55, Report1!D56</x:v>
      </x:c>
      <x:c r="I188" s="3" t="str">
        <x:v>短期借款＋一年內到期長債＋長期銀行借款＋公司債</x:v>
      </x:c>
      <x:c r="J188" s="3" t="str">
        <x:v>計算底稿!L22</x:v>
      </x:c>
      <x:c r="K188" s="3" t="str">
        <x:v>空白項未計入；租賃等未另加，非契約確認總債務。</x:v>
      </x:c>
      <x:c r="L188" s="3" t="str">
        <x:v>/Users/yuntzuyu/Downloads/e-loan/Quarter/e-Loan YQYQ-TransUnion Q1.xls</x:v>
      </x:c>
    </x:row>
    <x:row r="189" ht="25" customHeight="1">
      <x:c r="A189" s="3" t="str">
        <x:v>TRANSUNION</x:v>
      </x:c>
      <x:c r="B189" s="3" t="str">
        <x:v>2024-01-01~2024-12-31</x:v>
      </x:c>
      <x:c r="C189" s="3" t="str">
        <x:v>2024-12-31</x:v>
      </x:c>
      <x:c r="D189" s="3" t="str">
        <x:v>EBITDA（報表口徑）</x:v>
      </x:c>
      <x:c r="E189" s="6" t="n">
        <x:f>'計算底稿'!M22</x:f>
        <x:v>1190</x:v>
      </x:c>
      <x:c r="F189" s="3" t="str">
        <x:v>USD  million</x:v>
      </x:c>
      <x:c r="G189" s="3" t="str">
        <x:v>推算值</x:v>
      </x:c>
      <x:c r="H189" s="3" t="str">
        <x:v>Report1!D111, Report1!D106, Report1!D121, Report1!D201</x:v>
      </x:c>
      <x:c r="I189" s="3" t="str">
        <x:v>稅前損益＋利息費用＋折舊攤銷</x:v>
      </x:c>
      <x:c r="J189" s="3" t="str">
        <x:v>計算底稿!M22</x:v>
      </x:c>
      <x:c r="K189" s="3" t="str">
        <x:v>可重現原表EBITDA/Interest；含業外損益。</x:v>
      </x:c>
      <x:c r="L189" s="3" t="str">
        <x:v>/Users/yuntzuyu/Downloads/e-loan/Quarter/e-Loan YQYQ-TransUnion Q1.xls</x:v>
      </x:c>
    </x:row>
    <x:row r="190" ht="25" customHeight="1">
      <x:c r="A190" s="3" t="str">
        <x:v>TRANSUNION</x:v>
      </x:c>
      <x:c r="B190" s="3" t="str">
        <x:v>2024-01-01~2024-12-31</x:v>
      </x:c>
      <x:c r="C190" s="3" t="str">
        <x:v>2024-12-31</x:v>
      </x:c>
      <x:c r="D190" s="3" t="str">
        <x:v>EBITDA basis</x:v>
      </x:c>
      <x:c r="E190" s="3" t="str">
        <x:v>稅前損益＋利息＋折舊攤銷</x:v>
      </x:c>
      <x:c r="F190" s="3" t="str">
        <x:v>文字</x:v>
      </x:c>
      <x:c r="G190" s="3" t="str">
        <x:v>口徑說明</x:v>
      </x:c>
      <x:c r="H190" s="3" t="str">
        <x:v>Report1!D111, Report1!D106, Report1!D121</x:v>
      </x:c>
      <x:c r="I190" s="3" t="str">
        <x:v>稅前損益＋利息費用＋折舊攤銷</x:v>
      </x:c>
      <x:c r="J190" s="3" t="str">
        <x:v>計算底稿!M22</x:v>
      </x:c>
      <x:c r="K190" s="3" t="str">
        <x:v>本列為文字定義；不代表Adjusted或契約EBITDA。</x:v>
      </x:c>
      <x:c r="L190" s="3" t="str">
        <x:v>/Users/yuntzuyu/Downloads/e-loan/Quarter/e-Loan YQYQ-TransUnion Q1.xls</x:v>
      </x:c>
    </x:row>
    <x:row r="191" ht="25" customHeight="1">
      <x:c r="A191" s="3" t="str">
        <x:v>TRANSUNION</x:v>
      </x:c>
      <x:c r="B191" s="3" t="str">
        <x:v>2024-01-01~2024-12-31</x:v>
      </x:c>
      <x:c r="C191" s="3" t="str">
        <x:v>2024-12-31</x:v>
      </x:c>
      <x:c r="D191" s="3" t="str">
        <x:v>LTM EBITDA</x:v>
      </x:c>
      <x:c r="E191" s="6" t="n">
        <x:f>'計算底稿'!P22</x:f>
        <x:v>1190</x:v>
      </x:c>
      <x:c r="F191" s="3" t="str">
        <x:v>USD  million</x:v>
      </x:c>
      <x:c r="G191" s="3" t="str">
        <x:v>推算值</x:v>
      </x:c>
      <x:c r="H191" s="3" t="str">
        <x:v>Report1!D111, Report1!D106, Report1!D121</x:v>
      </x:c>
      <x:c r="I191" s="3" t="str">
        <x:v>全年：當年EBITDA；期中：前全年＋本YTD−前YTD</x:v>
      </x:c>
      <x:c r="J191" s="3" t="str">
        <x:v>計算底稿!P22</x:v>
      </x:c>
      <x:c r="K191" s="3" t="str">
        <x:v>期中缺前同期則資料不足；不採YTD×2或×4。</x:v>
      </x:c>
      <x:c r="L191" s="3" t="str">
        <x:v>/Users/yuntzuyu/Downloads/e-loan/Quarter/e-Loan YQYQ-TransUnion Q1.xls</x:v>
      </x:c>
    </x:row>
    <x:row r="192" ht="25" customHeight="1">
      <x:c r="A192" s="3" t="str">
        <x:v>TRANSUNION</x:v>
      </x:c>
      <x:c r="B192" s="3" t="str">
        <x:v>2024-01-01~2024-12-31</x:v>
      </x:c>
      <x:c r="C192" s="3" t="str">
        <x:v>2024-12-31</x:v>
      </x:c>
      <x:c r="D192" s="3" t="str">
        <x:v>Total leverage ratio</x:v>
      </x:c>
      <x:c r="E192" s="8" t="n">
        <x:f>'計算底稿'!Q22</x:f>
        <x:v>4.326050420168067</x:v>
      </x:c>
      <x:c r="F192" s="3" t="str">
        <x:v>倍</x:v>
      </x:c>
      <x:c r="G192" s="3" t="str">
        <x:v>推算值／非契約倍數</x:v>
      </x:c>
      <x:c r="H192" s="3" t="str">
        <x:v>Report1!D41, Report1!D43, Report1!D55, Report1!D56, Report1!D111, Report1!D106, Report1!D121</x:v>
      </x:c>
      <x:c r="I192" s="3" t="str">
        <x:v>期末列示債務合計÷LTM EBITDA</x:v>
      </x:c>
      <x:c r="J192" s="3" t="str">
        <x:v>計算底稿!Q22</x:v>
      </x:c>
      <x:c r="K192" s="3" t="str">
        <x:v>未扣現金；不含未辨識租賃；EBITDA≤0時標示不具意義。</x:v>
      </x:c>
      <x:c r="L192" s="3" t="str">
        <x:v>/Users/yuntzuyu/Downloads/e-loan/Quarter/e-Loan YQYQ-TransUnion Q1.xls</x:v>
      </x:c>
    </x:row>
    <x:row r="193" ht="25" customHeight="1">
      <x:c r="A193" s="3" t="str">
        <x:v>TRANSUNION</x:v>
      </x:c>
      <x:c r="B193" s="3" t="str">
        <x:v>2025-01-01~2025-03-31</x:v>
      </x:c>
      <x:c r="C193" s="3" t="str">
        <x:v>2025-03-31</x:v>
      </x:c>
      <x:c r="D193" s="3" t="str">
        <x:v>Cost of revenues</x:v>
      </x:c>
      <x:c r="E193" s="6" t="n">
        <x:f>'計算底稿'!F23</x:f>
        <x:v>446</x:v>
      </x:c>
      <x:c r="F193" s="3" t="str">
        <x:v>USD  million</x:v>
      </x:c>
      <x:c r="G193" s="3" t="str">
        <x:v>原始報表數字</x:v>
      </x:c>
      <x:c r="H193" s="3" t="str">
        <x:v>Report1!I86</x:v>
      </x:c>
      <x:c r="I193" s="3" t="str">
        <x:v>營收−毛利（驗算）</x:v>
      </x:c>
      <x:c r="J193" s="3" t="str">
        <x:v>計算底稿!F23</x:v>
      </x:c>
      <x:c r="K193" s="3" t="str">
        <x:v>對應Operating Cost/COGS；缺成本細項。</x:v>
      </x:c>
      <x:c r="L193" s="3" t="str">
        <x:v>/Users/yuntzuyu/Downloads/e-loan/Quarter/e-Loan YQYQ-TransUnion Q1.xls</x:v>
      </x:c>
    </x:row>
    <x:row r="194" ht="25" customHeight="1">
      <x:c r="A194" s="3" t="str">
        <x:v>TRANSUNION</x:v>
      </x:c>
      <x:c r="B194" s="3" t="str">
        <x:v>2025-01-01~2025-03-31</x:v>
      </x:c>
      <x:c r="C194" s="3" t="str">
        <x:v>2025-03-31</x:v>
      </x:c>
      <x:c r="D194" s="3" t="str">
        <x:v>Gross profit</x:v>
      </x:c>
      <x:c r="E194" s="6" t="n">
        <x:f>'計算底稿'!G23</x:f>
        <x:v>650</x:v>
      </x:c>
      <x:c r="F194" s="3" t="str">
        <x:v>USD  million</x:v>
      </x:c>
      <x:c r="G194" s="3" t="str">
        <x:v>原始報表數字</x:v>
      </x:c>
      <x:c r="H194" s="3" t="str">
        <x:v>Report1!I94, Report1!I80, Report1!I86</x:v>
      </x:c>
      <x:c r="I194" s="3" t="str">
        <x:v>營收−營收成本</x:v>
      </x:c>
      <x:c r="J194" s="3" t="str">
        <x:v>計算底稿!G23</x:v>
      </x:c>
      <x:c r="K194" s="3" t="str">
        <x:v>原值與驗算一致。</x:v>
      </x:c>
      <x:c r="L194" s="3" t="str">
        <x:v>/Users/yuntzuyu/Downloads/e-loan/Quarter/e-Loan YQYQ-TransUnion Q1.xls</x:v>
      </x:c>
    </x:row>
    <x:row r="195" ht="25" customHeight="1">
      <x:c r="A195" s="3" t="str">
        <x:v>TRANSUNION</x:v>
      </x:c>
      <x:c r="B195" s="3" t="str">
        <x:v>2025-01-01~2025-03-31</x:v>
      </x:c>
      <x:c r="C195" s="3" t="str">
        <x:v>2025-03-31</x:v>
      </x:c>
      <x:c r="D195" s="3" t="str">
        <x:v>Operating expense</x:v>
      </x:c>
      <x:c r="E195" s="6" t="n">
        <x:f>'計算底稿'!H23</x:f>
        <x:v>396</x:v>
      </x:c>
      <x:c r="F195" s="3" t="str">
        <x:v>USD  million</x:v>
      </x:c>
      <x:c r="G195" s="3" t="str">
        <x:v>原始報表數字</x:v>
      </x:c>
      <x:c r="H195" s="3" t="str">
        <x:v>Report1!I96, Report1!I94, Report1!I97</x:v>
      </x:c>
      <x:c r="I195" s="3" t="str">
        <x:v>毛利−營業利益（驗算）</x:v>
      </x:c>
      <x:c r="J195" s="3" t="str">
        <x:v>計算底稿!H23</x:v>
      </x:c>
      <x:c r="K195" s="3" t="str">
        <x:v>缺銷管、研發、減損等細分。</x:v>
      </x:c>
      <x:c r="L195" s="3" t="str">
        <x:v>/Users/yuntzuyu/Downloads/e-loan/Quarter/e-Loan YQYQ-TransUnion Q1.xls</x:v>
      </x:c>
    </x:row>
    <x:row r="196" ht="25" customHeight="1">
      <x:c r="A196" s="3" t="str">
        <x:v>TRANSUNION</x:v>
      </x:c>
      <x:c r="B196" s="3" t="str">
        <x:v>2025-01-01~2025-03-31</x:v>
      </x:c>
      <x:c r="C196" s="3" t="str">
        <x:v>2025-03-31</x:v>
      </x:c>
      <x:c r="D196" s="3" t="str">
        <x:v>Interest expense</x:v>
      </x:c>
      <x:c r="E196" s="6" t="n">
        <x:f>'計算底稿'!I23</x:f>
        <x:v>56</x:v>
      </x:c>
      <x:c r="F196" s="3" t="str">
        <x:v>USD  million</x:v>
      </x:c>
      <x:c r="G196" s="3" t="str">
        <x:v>原始報表數字</x:v>
      </x:c>
      <x:c r="H196" s="3" t="str">
        <x:v>Report1!I106</x:v>
      </x:c>
      <x:c r="I196" s="3" t="str">
        <x:v>直接取原報表第106列</x:v>
      </x:c>
      <x:c r="J196" s="3" t="str">
        <x:v>計算底稿!I23</x:v>
      </x:c>
      <x:c r="K196" s="3" t="str">
        <x:v>屬應計費用；不是現金付息，也不以期末債務×利率替代。</x:v>
      </x:c>
      <x:c r="L196" s="3" t="str">
        <x:v>/Users/yuntzuyu/Downloads/e-loan/Quarter/e-Loan YQYQ-TransUnion Q1.xls</x:v>
      </x:c>
    </x:row>
    <x:row r="197" ht="25" customHeight="1">
      <x:c r="A197" s="3" t="str">
        <x:v>TRANSUNION</x:v>
      </x:c>
      <x:c r="B197" s="3" t="str">
        <x:v>2025-01-01~2025-03-31</x:v>
      </x:c>
      <x:c r="C197" s="3" t="str">
        <x:v>2025-03-31</x:v>
      </x:c>
      <x:c r="D197" s="3" t="str">
        <x:v>Quick ratio</x:v>
      </x:c>
      <x:c r="E197" s="7" t="n">
        <x:f>'計算底稿'!J23</x:f>
        <x:v>1.6783000000000001</x:v>
      </x:c>
      <x:c r="F197" s="3" t="str">
        <x:v>%</x:v>
      </x:c>
      <x:c r="G197" s="3" t="str">
        <x:v>原始報表數字</x:v>
      </x:c>
      <x:c r="H197" s="3" t="str">
        <x:v>Report1!I198, Report1!I11, Report1!I12, Report1!I13, Report1!I40</x:v>
      </x:c>
      <x:c r="I197" s="3" t="str">
        <x:v>(現金＋流動金融資產＋應收款項)÷流動負債</x:v>
      </x:c>
      <x:c r="J197" s="3" t="str">
        <x:v>計算底稿!J23</x:v>
      </x:c>
      <x:c r="K197" s="3" t="str">
        <x:v>原值為百分比；非直接以流動資產扣存貨。</x:v>
      </x:c>
      <x:c r="L197" s="3" t="str">
        <x:v>/Users/yuntzuyu/Downloads/e-loan/Quarter/e-Loan YQYQ-TransUnion Q1.xls</x:v>
      </x:c>
    </x:row>
    <x:row r="198" ht="25" customHeight="1">
      <x:c r="A198" s="3" t="str">
        <x:v>TRANSUNION</x:v>
      </x:c>
      <x:c r="B198" s="3" t="str">
        <x:v>2025-01-01~2025-03-31</x:v>
      </x:c>
      <x:c r="C198" s="3" t="str">
        <x:v>2025-03-31</x:v>
      </x:c>
      <x:c r="D198" s="3" t="str">
        <x:v>Debt ratio</x:v>
      </x:c>
      <x:c r="E198" s="7" t="n">
        <x:f>'計算底稿'!K23</x:f>
        <x:v>1.4374</x:v>
      </x:c>
      <x:c r="F198" s="3" t="str">
        <x:v>%</x:v>
      </x:c>
      <x:c r="G198" s="3" t="str">
        <x:v>原始報表數字</x:v>
      </x:c>
      <x:c r="H198" s="3" t="str">
        <x:v>Report1!I203, Report1!I62, Report1!I70</x:v>
      </x:c>
      <x:c r="I198" s="3" t="str">
        <x:v>總負債÷淨值</x:v>
      </x:c>
      <x:c r="J198" s="3" t="str">
        <x:v>計算底稿!K23</x:v>
      </x:c>
      <x:c r="K198" s="3" t="str">
        <x:v>實際為負債淨值比；非負債資產比，亦非有息債務比。</x:v>
      </x:c>
      <x:c r="L198" s="3" t="str">
        <x:v>/Users/yuntzuyu/Downloads/e-loan/Quarter/e-Loan YQYQ-TransUnion Q1.xls</x:v>
      </x:c>
    </x:row>
    <x:row r="199" ht="25" customHeight="1">
      <x:c r="A199" s="3" t="str">
        <x:v>TRANSUNION</x:v>
      </x:c>
      <x:c r="B199" s="3" t="str">
        <x:v>2025-01-01~2025-03-31</x:v>
      </x:c>
      <x:c r="C199" s="3" t="str">
        <x:v>2025-03-31</x:v>
      </x:c>
      <x:c r="D199" s="3" t="str">
        <x:v>Total debt</x:v>
      </x:c>
      <x:c r="E199" s="6" t="n">
        <x:f>'計算底稿'!L23</x:f>
        <x:v>5131</x:v>
      </x:c>
      <x:c r="F199" s="3" t="str">
        <x:v>USD  million</x:v>
      </x:c>
      <x:c r="G199" s="3" t="str">
        <x:v>推算值／列示項目小計</x:v>
      </x:c>
      <x:c r="H199" s="3" t="str">
        <x:v>Report1!I41, Report1!I43, Report1!I55, Report1!I56</x:v>
      </x:c>
      <x:c r="I199" s="3" t="str">
        <x:v>短期借款＋一年內到期長債＋長期銀行借款＋公司債</x:v>
      </x:c>
      <x:c r="J199" s="3" t="str">
        <x:v>計算底稿!L23</x:v>
      </x:c>
      <x:c r="K199" s="3" t="str">
        <x:v>空白項未計入；租賃等未另加，非契約確認總債務。</x:v>
      </x:c>
      <x:c r="L199" s="3" t="str">
        <x:v>/Users/yuntzuyu/Downloads/e-loan/Quarter/e-Loan YQYQ-TransUnion Q1.xls</x:v>
      </x:c>
    </x:row>
    <x:row r="200" ht="25" customHeight="1">
      <x:c r="A200" s="3" t="str">
        <x:v>TRANSUNION</x:v>
      </x:c>
      <x:c r="B200" s="3" t="str">
        <x:v>2025-01-01~2025-03-31</x:v>
      </x:c>
      <x:c r="C200" s="3" t="str">
        <x:v>2025-03-31</x:v>
      </x:c>
      <x:c r="D200" s="3" t="str">
        <x:v>EBITDA（報表口徑）</x:v>
      </x:c>
      <x:c r="E200" s="6" t="n">
        <x:f>'計算底稿'!M23</x:f>
        <x:v>389</x:v>
      </x:c>
      <x:c r="F200" s="3" t="str">
        <x:v>USD  million</x:v>
      </x:c>
      <x:c r="G200" s="3" t="str">
        <x:v>推算值</x:v>
      </x:c>
      <x:c r="H200" s="3" t="str">
        <x:v>Report1!I111, Report1!I106, Report1!I121, Report1!I201</x:v>
      </x:c>
      <x:c r="I200" s="3" t="str">
        <x:v>稅前損益＋利息費用＋折舊攤銷</x:v>
      </x:c>
      <x:c r="J200" s="3" t="str">
        <x:v>計算底稿!M23</x:v>
      </x:c>
      <x:c r="K200" s="3" t="str">
        <x:v>可重現原表EBITDA/Interest；含業外損益。</x:v>
      </x:c>
      <x:c r="L200" s="3" t="str">
        <x:v>/Users/yuntzuyu/Downloads/e-loan/Quarter/e-Loan YQYQ-TransUnion Q1.xls</x:v>
      </x:c>
    </x:row>
    <x:row r="201" ht="25" customHeight="1">
      <x:c r="A201" s="3" t="str">
        <x:v>TRANSUNION</x:v>
      </x:c>
      <x:c r="B201" s="3" t="str">
        <x:v>2025-01-01~2025-03-31</x:v>
      </x:c>
      <x:c r="C201" s="3" t="str">
        <x:v>2025-03-31</x:v>
      </x:c>
      <x:c r="D201" s="3" t="str">
        <x:v>EBITDA basis</x:v>
      </x:c>
      <x:c r="E201" s="3" t="str">
        <x:v>稅前損益＋利息＋折舊攤銷</x:v>
      </x:c>
      <x:c r="F201" s="3" t="str">
        <x:v>文字</x:v>
      </x:c>
      <x:c r="G201" s="3" t="str">
        <x:v>口徑說明</x:v>
      </x:c>
      <x:c r="H201" s="3" t="str">
        <x:v>Report1!I111, Report1!I106, Report1!I121</x:v>
      </x:c>
      <x:c r="I201" s="3" t="str">
        <x:v>稅前損益＋利息費用＋折舊攤銷</x:v>
      </x:c>
      <x:c r="J201" s="3" t="str">
        <x:v>計算底稿!M23</x:v>
      </x:c>
      <x:c r="K201" s="3" t="str">
        <x:v>本列為文字定義；不代表Adjusted或契約EBITDA。</x:v>
      </x:c>
      <x:c r="L201" s="3" t="str">
        <x:v>/Users/yuntzuyu/Downloads/e-loan/Quarter/e-Loan YQYQ-TransUnion Q1.xls</x:v>
      </x:c>
    </x:row>
    <x:row r="202" ht="25" customHeight="1">
      <x:c r="A202" s="3" t="str">
        <x:v>TRANSUNION</x:v>
      </x:c>
      <x:c r="B202" s="3" t="str">
        <x:v>2025-01-01~2025-03-31</x:v>
      </x:c>
      <x:c r="C202" s="3" t="str">
        <x:v>2025-03-31</x:v>
      </x:c>
      <x:c r="D202" s="3" t="str">
        <x:v>LTM EBITDA</x:v>
      </x:c>
      <x:c r="E202" s="6" t="str">
        <x:f>'計算底稿'!P23</x:f>
        <x:v>資料不足</x:v>
      </x:c>
      <x:c r="F202" s="3" t="str">
        <x:v>USD  million</x:v>
      </x:c>
      <x:c r="G202" s="3" t="str">
        <x:v>推算值</x:v>
      </x:c>
      <x:c r="H202" s="3" t="str">
        <x:v>Report1!I111, Report1!I106, Report1!I121</x:v>
      </x:c>
      <x:c r="I202" s="3" t="str">
        <x:v>全年：當年EBITDA；期中：前全年＋本YTD−前YTD</x:v>
      </x:c>
      <x:c r="J202" s="3" t="str">
        <x:v>計算底稿!P23</x:v>
      </x:c>
      <x:c r="K202" s="3" t="str">
        <x:v>期中缺前同期則資料不足；不採YTD×2或×4。</x:v>
      </x:c>
      <x:c r="L202" s="3" t="str">
        <x:v>/Users/yuntzuyu/Downloads/e-loan/Quarter/e-Loan YQYQ-TransUnion Q1.xls</x:v>
      </x:c>
    </x:row>
    <x:row r="203" ht="25" customHeight="1">
      <x:c r="A203" s="3" t="str">
        <x:v>TRANSUNION</x:v>
      </x:c>
      <x:c r="B203" s="3" t="str">
        <x:v>2025-01-01~2025-03-31</x:v>
      </x:c>
      <x:c r="C203" s="3" t="str">
        <x:v>2025-03-31</x:v>
      </x:c>
      <x:c r="D203" s="3" t="str">
        <x:v>Total leverage ratio</x:v>
      </x:c>
      <x:c r="E203" s="8" t="str">
        <x:f>'計算底稿'!Q23</x:f>
        <x:v>資料不足</x:v>
      </x:c>
      <x:c r="F203" s="3" t="str">
        <x:v>倍</x:v>
      </x:c>
      <x:c r="G203" s="3" t="str">
        <x:v>推算值／非契約倍數</x:v>
      </x:c>
      <x:c r="H203" s="3" t="str">
        <x:v>Report1!I41, Report1!I43, Report1!I55, Report1!I56, Report1!I111, Report1!I106, Report1!I121</x:v>
      </x:c>
      <x:c r="I203" s="3" t="str">
        <x:v>期末列示債務合計÷LTM EBITDA</x:v>
      </x:c>
      <x:c r="J203" s="3" t="str">
        <x:v>計算底稿!Q23</x:v>
      </x:c>
      <x:c r="K203" s="3" t="str">
        <x:v>未扣現金；不含未辨識租賃；EBITDA≤0時標示不具意義。</x:v>
      </x:c>
      <x:c r="L203" s="3" t="str">
        <x:v>/Users/yuntzuyu/Downloads/e-loan/Quarter/e-Loan YQYQ-TransUnion Q1.xls</x:v>
      </x:c>
    </x:row>
    <x:row r="204" ht="25" customHeight="1">
      <x:c r="A204" s="3" t="str">
        <x:v>TRANSUNION</x:v>
      </x:c>
      <x:c r="B204" s="3" t="str">
        <x:v>2025-01-01~2025-12-31</x:v>
      </x:c>
      <x:c r="C204" s="3" t="str">
        <x:v>2025-12-31</x:v>
      </x:c>
      <x:c r="D204" s="3" t="str">
        <x:v>Cost of revenues</x:v>
      </x:c>
      <x:c r="E204" s="6" t="n">
        <x:f>'計算底稿'!F24</x:f>
        <x:v>1872</x:v>
      </x:c>
      <x:c r="F204" s="3" t="str">
        <x:v>USD  million</x:v>
      </x:c>
      <x:c r="G204" s="3" t="str">
        <x:v>原始報表數字</x:v>
      </x:c>
      <x:c r="H204" s="3" t="str">
        <x:v>Report1!M86</x:v>
      </x:c>
      <x:c r="I204" s="3" t="str">
        <x:v>營收−毛利（驗算）</x:v>
      </x:c>
      <x:c r="J204" s="3" t="str">
        <x:v>計算底稿!F24</x:v>
      </x:c>
      <x:c r="K204" s="3" t="str">
        <x:v>對應Operating Cost/COGS；缺成本細項。</x:v>
      </x:c>
      <x:c r="L204" s="3" t="str">
        <x:v>/Users/yuntzuyu/Downloads/e-loan/Quarter/e-Loan YQYQ-TransUnion Q1.xls</x:v>
      </x:c>
    </x:row>
    <x:row r="205" ht="25" customHeight="1">
      <x:c r="A205" s="3" t="str">
        <x:v>TRANSUNION</x:v>
      </x:c>
      <x:c r="B205" s="3" t="str">
        <x:v>2025-01-01~2025-12-31</x:v>
      </x:c>
      <x:c r="C205" s="3" t="str">
        <x:v>2025-12-31</x:v>
      </x:c>
      <x:c r="D205" s="3" t="str">
        <x:v>Gross profit</x:v>
      </x:c>
      <x:c r="E205" s="6" t="n">
        <x:f>'計算底稿'!G24</x:f>
        <x:v>2704</x:v>
      </x:c>
      <x:c r="F205" s="3" t="str">
        <x:v>USD  million</x:v>
      </x:c>
      <x:c r="G205" s="3" t="str">
        <x:v>原始報表數字</x:v>
      </x:c>
      <x:c r="H205" s="3" t="str">
        <x:v>Report1!M94, Report1!M80, Report1!M86</x:v>
      </x:c>
      <x:c r="I205" s="3" t="str">
        <x:v>營收−營收成本</x:v>
      </x:c>
      <x:c r="J205" s="3" t="str">
        <x:v>計算底稿!G24</x:v>
      </x:c>
      <x:c r="K205" s="3" t="str">
        <x:v>原值與驗算一致。</x:v>
      </x:c>
      <x:c r="L205" s="3" t="str">
        <x:v>/Users/yuntzuyu/Downloads/e-loan/Quarter/e-Loan YQYQ-TransUnion Q1.xls</x:v>
      </x:c>
    </x:row>
    <x:row r="206" ht="25" customHeight="1">
      <x:c r="A206" s="3" t="str">
        <x:v>TRANSUNION</x:v>
      </x:c>
      <x:c r="B206" s="3" t="str">
        <x:v>2025-01-01~2025-12-31</x:v>
      </x:c>
      <x:c r="C206" s="3" t="str">
        <x:v>2025-12-31</x:v>
      </x:c>
      <x:c r="D206" s="3" t="str">
        <x:v>Operating expense</x:v>
      </x:c>
      <x:c r="E206" s="6" t="n">
        <x:f>'計算底稿'!H24</x:f>
        <x:v>1846</x:v>
      </x:c>
      <x:c r="F206" s="3" t="str">
        <x:v>USD  million</x:v>
      </x:c>
      <x:c r="G206" s="3" t="str">
        <x:v>原始報表數字</x:v>
      </x:c>
      <x:c r="H206" s="3" t="str">
        <x:v>Report1!M96, Report1!M94, Report1!M97</x:v>
      </x:c>
      <x:c r="I206" s="3" t="str">
        <x:v>毛利−營業利益（驗算）</x:v>
      </x:c>
      <x:c r="J206" s="3" t="str">
        <x:v>計算底稿!H24</x:v>
      </x:c>
      <x:c r="K206" s="3" t="str">
        <x:v>缺銷管、研發、減損等細分。</x:v>
      </x:c>
      <x:c r="L206" s="3" t="str">
        <x:v>/Users/yuntzuyu/Downloads/e-loan/Quarter/e-Loan YQYQ-TransUnion Q1.xls</x:v>
      </x:c>
    </x:row>
    <x:row r="207" ht="25" customHeight="1">
      <x:c r="A207" s="3" t="str">
        <x:v>TRANSUNION</x:v>
      </x:c>
      <x:c r="B207" s="3" t="str">
        <x:v>2025-01-01~2025-12-31</x:v>
      </x:c>
      <x:c r="C207" s="3" t="str">
        <x:v>2025-12-31</x:v>
      </x:c>
      <x:c r="D207" s="3" t="str">
        <x:v>Interest expense</x:v>
      </x:c>
      <x:c r="E207" s="6" t="n">
        <x:f>'計算底稿'!I24</x:f>
        <x:v>236</x:v>
      </x:c>
      <x:c r="F207" s="3" t="str">
        <x:v>USD  million</x:v>
      </x:c>
      <x:c r="G207" s="3" t="str">
        <x:v>原始報表數字</x:v>
      </x:c>
      <x:c r="H207" s="3" t="str">
        <x:v>Report1!M106</x:v>
      </x:c>
      <x:c r="I207" s="3" t="str">
        <x:v>直接取原報表第106列</x:v>
      </x:c>
      <x:c r="J207" s="3" t="str">
        <x:v>計算底稿!I24</x:v>
      </x:c>
      <x:c r="K207" s="3" t="str">
        <x:v>屬應計費用；不是現金付息，也不以期末債務×利率替代。</x:v>
      </x:c>
      <x:c r="L207" s="3" t="str">
        <x:v>/Users/yuntzuyu/Downloads/e-loan/Quarter/e-Loan YQYQ-TransUnion Q1.xls</x:v>
      </x:c>
    </x:row>
    <x:row r="208" ht="25" customHeight="1">
      <x:c r="A208" s="3" t="str">
        <x:v>TRANSUNION</x:v>
      </x:c>
      <x:c r="B208" s="3" t="str">
        <x:v>2025-01-01~2025-12-31</x:v>
      </x:c>
      <x:c r="C208" s="3" t="str">
        <x:v>2025-12-31</x:v>
      </x:c>
      <x:c r="D208" s="3" t="str">
        <x:v>Quick ratio</x:v>
      </x:c>
      <x:c r="E208" s="7" t="n">
        <x:f>'計算底稿'!J24</x:f>
        <x:v>1.5221</x:v>
      </x:c>
      <x:c r="F208" s="3" t="str">
        <x:v>%</x:v>
      </x:c>
      <x:c r="G208" s="3" t="str">
        <x:v>原始報表數字</x:v>
      </x:c>
      <x:c r="H208" s="3" t="str">
        <x:v>Report1!M198, Report1!M11, Report1!M12, Report1!M13, Report1!M40</x:v>
      </x:c>
      <x:c r="I208" s="3" t="str">
        <x:v>(現金＋流動金融資產＋應收款項)÷流動負債</x:v>
      </x:c>
      <x:c r="J208" s="3" t="str">
        <x:v>計算底稿!J24</x:v>
      </x:c>
      <x:c r="K208" s="3" t="str">
        <x:v>原值為百分比；非直接以流動資產扣存貨。</x:v>
      </x:c>
      <x:c r="L208" s="3" t="str">
        <x:v>/Users/yuntzuyu/Downloads/e-loan/Quarter/e-Loan YQYQ-TransUnion Q1.xls</x:v>
      </x:c>
    </x:row>
    <x:row r="209" ht="25" customHeight="1">
      <x:c r="A209" s="3" t="str">
        <x:v>TRANSUNION</x:v>
      </x:c>
      <x:c r="B209" s="3" t="str">
        <x:v>2025-01-01~2025-12-31</x:v>
      </x:c>
      <x:c r="C209" s="3" t="str">
        <x:v>2025-12-31</x:v>
      </x:c>
      <x:c r="D209" s="3" t="str">
        <x:v>Debt ratio</x:v>
      </x:c>
      <x:c r="E209" s="7" t="n">
        <x:f>'計算底稿'!K24</x:f>
        <x:v>1.4450999999999998</x:v>
      </x:c>
      <x:c r="F209" s="3" t="str">
        <x:v>%</x:v>
      </x:c>
      <x:c r="G209" s="3" t="str">
        <x:v>原始報表數字</x:v>
      </x:c>
      <x:c r="H209" s="3" t="str">
        <x:v>Report1!M203, Report1!M62, Report1!M70</x:v>
      </x:c>
      <x:c r="I209" s="3" t="str">
        <x:v>總負債÷淨值</x:v>
      </x:c>
      <x:c r="J209" s="3" t="str">
        <x:v>計算底稿!K24</x:v>
      </x:c>
      <x:c r="K209" s="3" t="str">
        <x:v>實際為負債淨值比；非負債資產比，亦非有息債務比。</x:v>
      </x:c>
      <x:c r="L209" s="3" t="str">
        <x:v>/Users/yuntzuyu/Downloads/e-loan/Quarter/e-Loan YQYQ-TransUnion Q1.xls</x:v>
      </x:c>
    </x:row>
    <x:row r="210" ht="25" customHeight="1">
      <x:c r="A210" s="3" t="str">
        <x:v>TRANSUNION</x:v>
      </x:c>
      <x:c r="B210" s="3" t="str">
        <x:v>2025-01-01~2025-12-31</x:v>
      </x:c>
      <x:c r="C210" s="3" t="str">
        <x:v>2025-12-31</x:v>
      </x:c>
      <x:c r="D210" s="3" t="str">
        <x:v>Total debt</x:v>
      </x:c>
      <x:c r="E210" s="6" t="n">
        <x:f>'計算底稿'!L24</x:f>
        <x:v>5104</x:v>
      </x:c>
      <x:c r="F210" s="3" t="str">
        <x:v>USD  million</x:v>
      </x:c>
      <x:c r="G210" s="3" t="str">
        <x:v>推算值／列示項目小計</x:v>
      </x:c>
      <x:c r="H210" s="3" t="str">
        <x:v>Report1!M41, Report1!M43, Report1!M55, Report1!M56</x:v>
      </x:c>
      <x:c r="I210" s="3" t="str">
        <x:v>短期借款＋一年內到期長債＋長期銀行借款＋公司債</x:v>
      </x:c>
      <x:c r="J210" s="3" t="str">
        <x:v>計算底稿!L24</x:v>
      </x:c>
      <x:c r="K210" s="3" t="str">
        <x:v>空白項未計入；租賃等未另加，非契約確認總債務。</x:v>
      </x:c>
      <x:c r="L210" s="3" t="str">
        <x:v>/Users/yuntzuyu/Downloads/e-loan/Quarter/e-Loan YQYQ-TransUnion Q1.xls</x:v>
      </x:c>
    </x:row>
    <x:row r="211" ht="25" customHeight="1">
      <x:c r="A211" s="3" t="str">
        <x:v>TRANSUNION</x:v>
      </x:c>
      <x:c r="B211" s="3" t="str">
        <x:v>2025-01-01~2025-12-31</x:v>
      </x:c>
      <x:c r="C211" s="3" t="str">
        <x:v>2025-12-31</x:v>
      </x:c>
      <x:c r="D211" s="3" t="str">
        <x:v>EBITDA（報表口徑）</x:v>
      </x:c>
      <x:c r="E211" s="6" t="n">
        <x:f>'計算底稿'!M24</x:f>
        <x:v>1424</x:v>
      </x:c>
      <x:c r="F211" s="3" t="str">
        <x:v>USD  million</x:v>
      </x:c>
      <x:c r="G211" s="3" t="str">
        <x:v>推算值</x:v>
      </x:c>
      <x:c r="H211" s="3" t="str">
        <x:v>Report1!M111, Report1!M106, Report1!M121, Report1!M201</x:v>
      </x:c>
      <x:c r="I211" s="3" t="str">
        <x:v>稅前損益＋利息費用＋折舊攤銷</x:v>
      </x:c>
      <x:c r="J211" s="3" t="str">
        <x:v>計算底稿!M24</x:v>
      </x:c>
      <x:c r="K211" s="3" t="str">
        <x:v>可重現原表EBITDA/Interest；含業外損益。</x:v>
      </x:c>
      <x:c r="L211" s="3" t="str">
        <x:v>/Users/yuntzuyu/Downloads/e-loan/Quarter/e-Loan YQYQ-TransUnion Q1.xls</x:v>
      </x:c>
    </x:row>
    <x:row r="212" ht="25" customHeight="1">
      <x:c r="A212" s="3" t="str">
        <x:v>TRANSUNION</x:v>
      </x:c>
      <x:c r="B212" s="3" t="str">
        <x:v>2025-01-01~2025-12-31</x:v>
      </x:c>
      <x:c r="C212" s="3" t="str">
        <x:v>2025-12-31</x:v>
      </x:c>
      <x:c r="D212" s="3" t="str">
        <x:v>EBITDA basis</x:v>
      </x:c>
      <x:c r="E212" s="3" t="str">
        <x:v>稅前損益＋利息＋折舊攤銷</x:v>
      </x:c>
      <x:c r="F212" s="3" t="str">
        <x:v>文字</x:v>
      </x:c>
      <x:c r="G212" s="3" t="str">
        <x:v>口徑說明</x:v>
      </x:c>
      <x:c r="H212" s="3" t="str">
        <x:v>Report1!M111, Report1!M106, Report1!M121</x:v>
      </x:c>
      <x:c r="I212" s="3" t="str">
        <x:v>稅前損益＋利息費用＋折舊攤銷</x:v>
      </x:c>
      <x:c r="J212" s="3" t="str">
        <x:v>計算底稿!M24</x:v>
      </x:c>
      <x:c r="K212" s="3" t="str">
        <x:v>本列為文字定義；不代表Adjusted或契約EBITDA。</x:v>
      </x:c>
      <x:c r="L212" s="3" t="str">
        <x:v>/Users/yuntzuyu/Downloads/e-loan/Quarter/e-Loan YQYQ-TransUnion Q1.xls</x:v>
      </x:c>
    </x:row>
    <x:row r="213" ht="25" customHeight="1">
      <x:c r="A213" s="3" t="str">
        <x:v>TRANSUNION</x:v>
      </x:c>
      <x:c r="B213" s="3" t="str">
        <x:v>2025-01-01~2025-12-31</x:v>
      </x:c>
      <x:c r="C213" s="3" t="str">
        <x:v>2025-12-31</x:v>
      </x:c>
      <x:c r="D213" s="3" t="str">
        <x:v>LTM EBITDA</x:v>
      </x:c>
      <x:c r="E213" s="6" t="n">
        <x:f>'計算底稿'!P24</x:f>
        <x:v>1424</x:v>
      </x:c>
      <x:c r="F213" s="3" t="str">
        <x:v>USD  million</x:v>
      </x:c>
      <x:c r="G213" s="3" t="str">
        <x:v>推算值</x:v>
      </x:c>
      <x:c r="H213" s="3" t="str">
        <x:v>Report1!M111, Report1!M106, Report1!M121</x:v>
      </x:c>
      <x:c r="I213" s="3" t="str">
        <x:v>全年：當年EBITDA；期中：前全年＋本YTD−前YTD</x:v>
      </x:c>
      <x:c r="J213" s="3" t="str">
        <x:v>計算底稿!P24</x:v>
      </x:c>
      <x:c r="K213" s="3" t="str">
        <x:v>期中缺前同期則資料不足；不採YTD×2或×4。</x:v>
      </x:c>
      <x:c r="L213" s="3" t="str">
        <x:v>/Users/yuntzuyu/Downloads/e-loan/Quarter/e-Loan YQYQ-TransUnion Q1.xls</x:v>
      </x:c>
    </x:row>
    <x:row r="214" ht="25" customHeight="1">
      <x:c r="A214" s="3" t="str">
        <x:v>TRANSUNION</x:v>
      </x:c>
      <x:c r="B214" s="3" t="str">
        <x:v>2025-01-01~2025-12-31</x:v>
      </x:c>
      <x:c r="C214" s="3" t="str">
        <x:v>2025-12-31</x:v>
      </x:c>
      <x:c r="D214" s="3" t="str">
        <x:v>Total leverage ratio</x:v>
      </x:c>
      <x:c r="E214" s="8" t="n">
        <x:f>'計算底稿'!Q24</x:f>
        <x:v>3.5842696629213484</x:v>
      </x:c>
      <x:c r="F214" s="3" t="str">
        <x:v>倍</x:v>
      </x:c>
      <x:c r="G214" s="3" t="str">
        <x:v>推算值／非契約倍數</x:v>
      </x:c>
      <x:c r="H214" s="3" t="str">
        <x:v>Report1!M41, Report1!M43, Report1!M55, Report1!M56, Report1!M111, Report1!M106, Report1!M121</x:v>
      </x:c>
      <x:c r="I214" s="3" t="str">
        <x:v>期末列示債務合計÷LTM EBITDA</x:v>
      </x:c>
      <x:c r="J214" s="3" t="str">
        <x:v>計算底稿!Q24</x:v>
      </x:c>
      <x:c r="K214" s="3" t="str">
        <x:v>未扣現金；不含未辨識租賃；EBITDA≤0時標示不具意義。</x:v>
      </x:c>
      <x:c r="L214" s="3" t="str">
        <x:v>/Users/yuntzuyu/Downloads/e-loan/Quarter/e-Loan YQYQ-TransUnion Q1.xls</x:v>
      </x:c>
    </x:row>
    <x:row r="215" ht="25" customHeight="1">
      <x:c r="A215" s="3" t="str">
        <x:v>TRANSUNION</x:v>
      </x:c>
      <x:c r="B215" s="3" t="str">
        <x:v>2026-01-01~2026-03-31</x:v>
      </x:c>
      <x:c r="C215" s="3" t="str">
        <x:v>2026-03-31</x:v>
      </x:c>
      <x:c r="D215" s="3" t="str">
        <x:v>Cost of revenues</x:v>
      </x:c>
      <x:c r="E215" s="6" t="n">
        <x:f>'計算底稿'!F25</x:f>
        <x:v>520</x:v>
      </x:c>
      <x:c r="F215" s="3" t="str">
        <x:v>USD  million</x:v>
      </x:c>
      <x:c r="G215" s="3" t="str">
        <x:v>原始報表數字</x:v>
      </x:c>
      <x:c r="H215" s="3" t="str">
        <x:v>Report1!R86</x:v>
      </x:c>
      <x:c r="I215" s="3" t="str">
        <x:v>營收−毛利（驗算）</x:v>
      </x:c>
      <x:c r="J215" s="3" t="str">
        <x:v>計算底稿!F25</x:v>
      </x:c>
      <x:c r="K215" s="3" t="str">
        <x:v>對應Operating Cost/COGS；缺成本細項。</x:v>
      </x:c>
      <x:c r="L215" s="3" t="str">
        <x:v>/Users/yuntzuyu/Downloads/e-loan/Quarter/e-Loan YQYQ-TransUnion Q1.xls</x:v>
      </x:c>
    </x:row>
    <x:row r="216" ht="25" customHeight="1">
      <x:c r="A216" s="3" t="str">
        <x:v>TRANSUNION</x:v>
      </x:c>
      <x:c r="B216" s="3" t="str">
        <x:v>2026-01-01~2026-03-31</x:v>
      </x:c>
      <x:c r="C216" s="3" t="str">
        <x:v>2026-03-31</x:v>
      </x:c>
      <x:c r="D216" s="3" t="str">
        <x:v>Gross profit</x:v>
      </x:c>
      <x:c r="E216" s="6" t="n">
        <x:f>'計算底稿'!G25</x:f>
        <x:v>726</x:v>
      </x:c>
      <x:c r="F216" s="3" t="str">
        <x:v>USD  million</x:v>
      </x:c>
      <x:c r="G216" s="3" t="str">
        <x:v>原始報表數字</x:v>
      </x:c>
      <x:c r="H216" s="3" t="str">
        <x:v>Report1!R94, Report1!R80, Report1!R86</x:v>
      </x:c>
      <x:c r="I216" s="3" t="str">
        <x:v>營收−營收成本</x:v>
      </x:c>
      <x:c r="J216" s="3" t="str">
        <x:v>計算底稿!G25</x:v>
      </x:c>
      <x:c r="K216" s="3" t="str">
        <x:v>原值與驗算一致。</x:v>
      </x:c>
      <x:c r="L216" s="3" t="str">
        <x:v>/Users/yuntzuyu/Downloads/e-loan/Quarter/e-Loan YQYQ-TransUnion Q1.xls</x:v>
      </x:c>
    </x:row>
    <x:row r="217" ht="25" customHeight="1">
      <x:c r="A217" s="3" t="str">
        <x:v>TRANSUNION</x:v>
      </x:c>
      <x:c r="B217" s="3" t="str">
        <x:v>2026-01-01~2026-03-31</x:v>
      </x:c>
      <x:c r="C217" s="3" t="str">
        <x:v>2026-03-31</x:v>
      </x:c>
      <x:c r="D217" s="3" t="str">
        <x:v>Operating expense</x:v>
      </x:c>
      <x:c r="E217" s="6" t="n">
        <x:f>'計算底稿'!H25</x:f>
        <x:v>481</x:v>
      </x:c>
      <x:c r="F217" s="3" t="str">
        <x:v>USD  million</x:v>
      </x:c>
      <x:c r="G217" s="3" t="str">
        <x:v>原始報表數字</x:v>
      </x:c>
      <x:c r="H217" s="3" t="str">
        <x:v>Report1!R96, Report1!R94, Report1!R97</x:v>
      </x:c>
      <x:c r="I217" s="3" t="str">
        <x:v>毛利−營業利益（驗算）</x:v>
      </x:c>
      <x:c r="J217" s="3" t="str">
        <x:v>計算底稿!H25</x:v>
      </x:c>
      <x:c r="K217" s="3" t="str">
        <x:v>缺銷管、研發、減損等細分。</x:v>
      </x:c>
      <x:c r="L217" s="3" t="str">
        <x:v>/Users/yuntzuyu/Downloads/e-loan/Quarter/e-Loan YQYQ-TransUnion Q1.xls</x:v>
      </x:c>
    </x:row>
    <x:row r="218" ht="25" customHeight="1">
      <x:c r="A218" s="3" t="str">
        <x:v>TRANSUNION</x:v>
      </x:c>
      <x:c r="B218" s="3" t="str">
        <x:v>2026-01-01~2026-03-31</x:v>
      </x:c>
      <x:c r="C218" s="3" t="str">
        <x:v>2026-03-31</x:v>
      </x:c>
      <x:c r="D218" s="3" t="str">
        <x:v>Interest expense</x:v>
      </x:c>
      <x:c r="E218" s="6" t="n">
        <x:f>'計算底稿'!I25</x:f>
        <x:v>62</x:v>
      </x:c>
      <x:c r="F218" s="3" t="str">
        <x:v>USD  million</x:v>
      </x:c>
      <x:c r="G218" s="3" t="str">
        <x:v>原始報表數字</x:v>
      </x:c>
      <x:c r="H218" s="3" t="str">
        <x:v>Report1!R106</x:v>
      </x:c>
      <x:c r="I218" s="3" t="str">
        <x:v>直接取原報表第106列</x:v>
      </x:c>
      <x:c r="J218" s="3" t="str">
        <x:v>計算底稿!I25</x:v>
      </x:c>
      <x:c r="K218" s="3" t="str">
        <x:v>屬應計費用；不是現金付息，也不以期末債務×利率替代。</x:v>
      </x:c>
      <x:c r="L218" s="3" t="str">
        <x:v>/Users/yuntzuyu/Downloads/e-loan/Quarter/e-Loan YQYQ-TransUnion Q1.xls</x:v>
      </x:c>
    </x:row>
    <x:row r="219" ht="25" customHeight="1">
      <x:c r="A219" s="3" t="str">
        <x:v>TRANSUNION</x:v>
      </x:c>
      <x:c r="B219" s="3" t="str">
        <x:v>2026-01-01~2026-03-31</x:v>
      </x:c>
      <x:c r="C219" s="3" t="str">
        <x:v>2026-03-31</x:v>
      </x:c>
      <x:c r="D219" s="3" t="str">
        <x:v>Quick ratio</x:v>
      </x:c>
      <x:c r="E219" s="7" t="n">
        <x:f>'計算底稿'!J25</x:f>
        <x:v>1.7008</x:v>
      </x:c>
      <x:c r="F219" s="3" t="str">
        <x:v>%</x:v>
      </x:c>
      <x:c r="G219" s="3" t="str">
        <x:v>原始報表數字</x:v>
      </x:c>
      <x:c r="H219" s="3" t="str">
        <x:v>Report1!R198, Report1!R11, Report1!R12, Report1!R13, Report1!R40</x:v>
      </x:c>
      <x:c r="I219" s="3" t="str">
        <x:v>(現金＋流動金融資產＋應收款項)÷流動負債</x:v>
      </x:c>
      <x:c r="J219" s="3" t="str">
        <x:v>計算底稿!J25</x:v>
      </x:c>
      <x:c r="K219" s="3" t="str">
        <x:v>原值為百分比；非直接以流動資產扣存貨。</x:v>
      </x:c>
      <x:c r="L219" s="3" t="str">
        <x:v>/Users/yuntzuyu/Downloads/e-loan/Quarter/e-Loan YQYQ-TransUnion Q1.xls</x:v>
      </x:c>
    </x:row>
    <x:row r="220" ht="25" customHeight="1">
      <x:c r="A220" s="3" t="str">
        <x:v>TRANSUNION</x:v>
      </x:c>
      <x:c r="B220" s="3" t="str">
        <x:v>2026-01-01~2026-03-31</x:v>
      </x:c>
      <x:c r="C220" s="3" t="str">
        <x:v>2026-03-31</x:v>
      </x:c>
      <x:c r="D220" s="3" t="str">
        <x:v>Debt ratio</x:v>
      </x:c>
      <x:c r="E220" s="7" t="n">
        <x:f>'計算底稿'!K25</x:f>
        <x:v>1.4516</x:v>
      </x:c>
      <x:c r="F220" s="3" t="str">
        <x:v>%</x:v>
      </x:c>
      <x:c r="G220" s="3" t="str">
        <x:v>原始報表數字</x:v>
      </x:c>
      <x:c r="H220" s="3" t="str">
        <x:v>Report1!R203, Report1!R62, Report1!R70</x:v>
      </x:c>
      <x:c r="I220" s="3" t="str">
        <x:v>總負債÷淨值</x:v>
      </x:c>
      <x:c r="J220" s="3" t="str">
        <x:v>計算底稿!K25</x:v>
      </x:c>
      <x:c r="K220" s="3" t="str">
        <x:v>實際為負債淨值比；非負債資產比，亦非有息債務比。</x:v>
      </x:c>
      <x:c r="L220" s="3" t="str">
        <x:v>/Users/yuntzuyu/Downloads/e-loan/Quarter/e-Loan YQYQ-TransUnion Q1.xls</x:v>
      </x:c>
    </x:row>
    <x:row r="221" ht="25" customHeight="1">
      <x:c r="A221" s="3" t="str">
        <x:v>TRANSUNION</x:v>
      </x:c>
      <x:c r="B221" s="3" t="str">
        <x:v>2026-01-01~2026-03-31</x:v>
      </x:c>
      <x:c r="C221" s="3" t="str">
        <x:v>2026-03-31</x:v>
      </x:c>
      <x:c r="D221" s="3" t="str">
        <x:v>Total debt</x:v>
      </x:c>
      <x:c r="E221" s="6" t="n">
        <x:f>'計算底稿'!L25</x:f>
        <x:v>5607</x:v>
      </x:c>
      <x:c r="F221" s="3" t="str">
        <x:v>USD  million</x:v>
      </x:c>
      <x:c r="G221" s="3" t="str">
        <x:v>推算值／列示項目小計</x:v>
      </x:c>
      <x:c r="H221" s="3" t="str">
        <x:v>Report1!R41, Report1!R43, Report1!R55, Report1!R56</x:v>
      </x:c>
      <x:c r="I221" s="3" t="str">
        <x:v>短期借款＋一年內到期長債＋長期銀行借款＋公司債</x:v>
      </x:c>
      <x:c r="J221" s="3" t="str">
        <x:v>計算底稿!L25</x:v>
      </x:c>
      <x:c r="K221" s="3" t="str">
        <x:v>空白項未計入；租賃等未另加，非契約確認總債務。</x:v>
      </x:c>
      <x:c r="L221" s="3" t="str">
        <x:v>/Users/yuntzuyu/Downloads/e-loan/Quarter/e-Loan YQYQ-TransUnion Q1.xls</x:v>
      </x:c>
    </x:row>
    <x:row r="222" ht="25" customHeight="1">
      <x:c r="A222" s="3" t="str">
        <x:v>TRANSUNION</x:v>
      </x:c>
      <x:c r="B222" s="3" t="str">
        <x:v>2026-01-01~2026-03-31</x:v>
      </x:c>
      <x:c r="C222" s="3" t="str">
        <x:v>2026-03-31</x:v>
      </x:c>
      <x:c r="D222" s="3" t="str">
        <x:v>EBITDA（報表口徑）</x:v>
      </x:c>
      <x:c r="E222" s="6" t="n">
        <x:f>'計算底稿'!M25</x:f>
        <x:v>642</x:v>
      </x:c>
      <x:c r="F222" s="3" t="str">
        <x:v>USD  million</x:v>
      </x:c>
      <x:c r="G222" s="3" t="str">
        <x:v>推算值</x:v>
      </x:c>
      <x:c r="H222" s="3" t="str">
        <x:v>Report1!R111, Report1!R106, Report1!R121, Report1!R201</x:v>
      </x:c>
      <x:c r="I222" s="3" t="str">
        <x:v>稅前損益＋利息費用＋折舊攤銷</x:v>
      </x:c>
      <x:c r="J222" s="3" t="str">
        <x:v>計算底稿!M25</x:v>
      </x:c>
      <x:c r="K222" s="3" t="str">
        <x:v>可重現原表EBITDA/Interest；含業外損益。</x:v>
      </x:c>
      <x:c r="L222" s="3" t="str">
        <x:v>/Users/yuntzuyu/Downloads/e-loan/Quarter/e-Loan YQYQ-TransUnion Q1.xls</x:v>
      </x:c>
    </x:row>
    <x:row r="223" ht="25" customHeight="1">
      <x:c r="A223" s="3" t="str">
        <x:v>TRANSUNION</x:v>
      </x:c>
      <x:c r="B223" s="3" t="str">
        <x:v>2026-01-01~2026-03-31</x:v>
      </x:c>
      <x:c r="C223" s="3" t="str">
        <x:v>2026-03-31</x:v>
      </x:c>
      <x:c r="D223" s="3" t="str">
        <x:v>EBITDA basis</x:v>
      </x:c>
      <x:c r="E223" s="3" t="str">
        <x:v>稅前損益＋利息＋折舊攤銷</x:v>
      </x:c>
      <x:c r="F223" s="3" t="str">
        <x:v>文字</x:v>
      </x:c>
      <x:c r="G223" s="3" t="str">
        <x:v>口徑說明</x:v>
      </x:c>
      <x:c r="H223" s="3" t="str">
        <x:v>Report1!R111, Report1!R106, Report1!R121</x:v>
      </x:c>
      <x:c r="I223" s="3" t="str">
        <x:v>稅前損益＋利息費用＋折舊攤銷</x:v>
      </x:c>
      <x:c r="J223" s="3" t="str">
        <x:v>計算底稿!M25</x:v>
      </x:c>
      <x:c r="K223" s="3" t="str">
        <x:v>本列為文字定義；不代表Adjusted或契約EBITDA。</x:v>
      </x:c>
      <x:c r="L223" s="3" t="str">
        <x:v>/Users/yuntzuyu/Downloads/e-loan/Quarter/e-Loan YQYQ-TransUnion Q1.xls</x:v>
      </x:c>
    </x:row>
    <x:row r="224" ht="25" customHeight="1">
      <x:c r="A224" s="3" t="str">
        <x:v>TRANSUNION</x:v>
      </x:c>
      <x:c r="B224" s="3" t="str">
        <x:v>2026-01-01~2026-03-31</x:v>
      </x:c>
      <x:c r="C224" s="3" t="str">
        <x:v>2026-03-31</x:v>
      </x:c>
      <x:c r="D224" s="3" t="str">
        <x:v>LTM EBITDA</x:v>
      </x:c>
      <x:c r="E224" s="6" t="n">
        <x:f>'計算底稿'!P25</x:f>
        <x:v>1677</x:v>
      </x:c>
      <x:c r="F224" s="3" t="str">
        <x:v>USD  million</x:v>
      </x:c>
      <x:c r="G224" s="3" t="str">
        <x:v>推算值</x:v>
      </x:c>
      <x:c r="H224" s="3" t="str">
        <x:v>Report1!R111, Report1!R106, Report1!R121；EBITDA另取M、I欄第111/106/121列</x:v>
      </x:c>
      <x:c r="I224" s="3" t="str">
        <x:v>全年：當年EBITDA；期中：前全年＋本YTD−前YTD</x:v>
      </x:c>
      <x:c r="J224" s="3" t="str">
        <x:v>計算底稿!P25</x:v>
      </x:c>
      <x:c r="K224" s="3" t="str">
        <x:v>期中缺前同期則資料不足；不採YTD×2或×4。</x:v>
      </x:c>
      <x:c r="L224" s="3" t="str">
        <x:v>/Users/yuntzuyu/Downloads/e-loan/Quarter/e-Loan YQYQ-TransUnion Q1.xls</x:v>
      </x:c>
    </x:row>
    <x:row r="225" ht="25" customHeight="1">
      <x:c r="A225" s="3" t="str">
        <x:v>TRANSUNION</x:v>
      </x:c>
      <x:c r="B225" s="3" t="str">
        <x:v>2026-01-01~2026-03-31</x:v>
      </x:c>
      <x:c r="C225" s="3" t="str">
        <x:v>2026-03-31</x:v>
      </x:c>
      <x:c r="D225" s="3" t="str">
        <x:v>Total leverage ratio</x:v>
      </x:c>
      <x:c r="E225" s="8" t="n">
        <x:f>'計算底稿'!Q25</x:f>
        <x:v>3.3434704830053668</x:v>
      </x:c>
      <x:c r="F225" s="3" t="str">
        <x:v>倍</x:v>
      </x:c>
      <x:c r="G225" s="3" t="str">
        <x:v>推算值／非契約倍數</x:v>
      </x:c>
      <x:c r="H225" s="3" t="str">
        <x:v>Report1!R41, Report1!R43, Report1!R55, Report1!R56, Report1!R111, Report1!R106, Report1!R121；EBITDA另取M、I欄第111/106/121列</x:v>
      </x:c>
      <x:c r="I225" s="3" t="str">
        <x:v>期末列示債務合計÷LTM EBITDA</x:v>
      </x:c>
      <x:c r="J225" s="3" t="str">
        <x:v>計算底稿!Q25</x:v>
      </x:c>
      <x:c r="K225" s="3" t="str">
        <x:v>未扣現金；不含未辨識租賃；EBITDA≤0時標示不具意義。</x:v>
      </x:c>
      <x:c r="L225" s="3" t="str">
        <x:v>/Users/yuntzuyu/Downloads/e-loan/Quarter/e-Loan YQYQ-TransUnion Q1.xls</x:v>
      </x:c>
    </x:row>
    <x:row r="226" ht="25" customHeight="1">
      <x:c r="A226" s="3" t="str">
        <x:v>TRANSUNION</x:v>
      </x:c>
      <x:c r="B226" s="3" t="str">
        <x:v>2024-01-01~2024-12-31</x:v>
      </x:c>
      <x:c r="C226" s="3" t="str">
        <x:v>2024-12-31</x:v>
      </x:c>
      <x:c r="D226" s="3" t="str">
        <x:v>Cost of revenues</x:v>
      </x:c>
      <x:c r="E226" s="6" t="n">
        <x:f>'計算底稿'!F26</x:f>
        <x:v>1673</x:v>
      </x:c>
      <x:c r="F226" s="3" t="str">
        <x:v>USD  million</x:v>
      </x:c>
      <x:c r="G226" s="3" t="str">
        <x:v>原始報表數字</x:v>
      </x:c>
      <x:c r="H226" s="3" t="str">
        <x:v>Report1!D86</x:v>
      </x:c>
      <x:c r="I226" s="3" t="str">
        <x:v>營收−毛利（驗算）</x:v>
      </x:c>
      <x:c r="J226" s="3" t="str">
        <x:v>計算底稿!F26</x:v>
      </x:c>
      <x:c r="K226" s="3" t="str">
        <x:v>對應Operating Cost/COGS；缺成本細項。</x:v>
      </x:c>
      <x:c r="L226" s="3" t="str">
        <x:v>/Users/yuntzuyu/Downloads/e-loan/Quarter/e-Loan YQYQ-TransUnion Q2.xls</x:v>
      </x:c>
    </x:row>
    <x:row r="227" ht="25" customHeight="1">
      <x:c r="A227" s="3" t="str">
        <x:v>TRANSUNION</x:v>
      </x:c>
      <x:c r="B227" s="3" t="str">
        <x:v>2024-01-01~2024-12-31</x:v>
      </x:c>
      <x:c r="C227" s="3" t="str">
        <x:v>2024-12-31</x:v>
      </x:c>
      <x:c r="D227" s="3" t="str">
        <x:v>Gross profit</x:v>
      </x:c>
      <x:c r="E227" s="6" t="n">
        <x:f>'計算底稿'!G26</x:f>
        <x:v>2511</x:v>
      </x:c>
      <x:c r="F227" s="3" t="str">
        <x:v>USD  million</x:v>
      </x:c>
      <x:c r="G227" s="3" t="str">
        <x:v>原始報表數字</x:v>
      </x:c>
      <x:c r="H227" s="3" t="str">
        <x:v>Report1!D94, Report1!D80, Report1!D86</x:v>
      </x:c>
      <x:c r="I227" s="3" t="str">
        <x:v>營收−營收成本</x:v>
      </x:c>
      <x:c r="J227" s="3" t="str">
        <x:v>計算底稿!G26</x:v>
      </x:c>
      <x:c r="K227" s="3" t="str">
        <x:v>原值與驗算一致。</x:v>
      </x:c>
      <x:c r="L227" s="3" t="str">
        <x:v>/Users/yuntzuyu/Downloads/e-loan/Quarter/e-Loan YQYQ-TransUnion Q2.xls</x:v>
      </x:c>
    </x:row>
    <x:row r="228" ht="25" customHeight="1">
      <x:c r="A228" s="3" t="str">
        <x:v>TRANSUNION</x:v>
      </x:c>
      <x:c r="B228" s="3" t="str">
        <x:v>2024-01-01~2024-12-31</x:v>
      </x:c>
      <x:c r="C228" s="3" t="str">
        <x:v>2024-12-31</x:v>
      </x:c>
      <x:c r="D228" s="3" t="str">
        <x:v>Operating expense</x:v>
      </x:c>
      <x:c r="E228" s="6" t="n">
        <x:f>'計算底稿'!H26</x:f>
        <x:v>1844</x:v>
      </x:c>
      <x:c r="F228" s="3" t="str">
        <x:v>USD  million</x:v>
      </x:c>
      <x:c r="G228" s="3" t="str">
        <x:v>原始報表數字</x:v>
      </x:c>
      <x:c r="H228" s="3" t="str">
        <x:v>Report1!D96, Report1!D94, Report1!D97</x:v>
      </x:c>
      <x:c r="I228" s="3" t="str">
        <x:v>毛利−營業利益（驗算）</x:v>
      </x:c>
      <x:c r="J228" s="3" t="str">
        <x:v>計算底稿!H26</x:v>
      </x:c>
      <x:c r="K228" s="3" t="str">
        <x:v>缺銷管、研發、減損等細分。</x:v>
      </x:c>
      <x:c r="L228" s="3" t="str">
        <x:v>/Users/yuntzuyu/Downloads/e-loan/Quarter/e-Loan YQYQ-TransUnion Q2.xls</x:v>
      </x:c>
    </x:row>
    <x:row r="229" ht="25" customHeight="1">
      <x:c r="A229" s="3" t="str">
        <x:v>TRANSUNION</x:v>
      </x:c>
      <x:c r="B229" s="3" t="str">
        <x:v>2024-01-01~2024-12-31</x:v>
      </x:c>
      <x:c r="C229" s="3" t="str">
        <x:v>2024-12-31</x:v>
      </x:c>
      <x:c r="D229" s="3" t="str">
        <x:v>Interest expense</x:v>
      </x:c>
      <x:c r="E229" s="6" t="n">
        <x:f>'計算底稿'!I26</x:f>
        <x:v>265</x:v>
      </x:c>
      <x:c r="F229" s="3" t="str">
        <x:v>USD  million</x:v>
      </x:c>
      <x:c r="G229" s="3" t="str">
        <x:v>原始報表數字</x:v>
      </x:c>
      <x:c r="H229" s="3" t="str">
        <x:v>Report1!D106</x:v>
      </x:c>
      <x:c r="I229" s="3" t="str">
        <x:v>直接取原報表第106列</x:v>
      </x:c>
      <x:c r="J229" s="3" t="str">
        <x:v>計算底稿!I26</x:v>
      </x:c>
      <x:c r="K229" s="3" t="str">
        <x:v>屬應計費用；不是現金付息，也不以期末債務×利率替代。</x:v>
      </x:c>
      <x:c r="L229" s="3" t="str">
        <x:v>/Users/yuntzuyu/Downloads/e-loan/Quarter/e-Loan YQYQ-TransUnion Q2.xls</x:v>
      </x:c>
    </x:row>
    <x:row r="230" ht="25" customHeight="1">
      <x:c r="A230" s="3" t="str">
        <x:v>TRANSUNION</x:v>
      </x:c>
      <x:c r="B230" s="3" t="str">
        <x:v>2024-01-01~2024-12-31</x:v>
      </x:c>
      <x:c r="C230" s="3" t="str">
        <x:v>2024-12-31</x:v>
      </x:c>
      <x:c r="D230" s="3" t="str">
        <x:v>Quick ratio</x:v>
      </x:c>
      <x:c r="E230" s="7" t="n">
        <x:f>'計算底稿'!J26</x:f>
        <x:v>1.3953</x:v>
      </x:c>
      <x:c r="F230" s="3" t="str">
        <x:v>%</x:v>
      </x:c>
      <x:c r="G230" s="3" t="str">
        <x:v>原始報表數字</x:v>
      </x:c>
      <x:c r="H230" s="3" t="str">
        <x:v>Report1!D198, Report1!D11, Report1!D12, Report1!D13, Report1!D40</x:v>
      </x:c>
      <x:c r="I230" s="3" t="str">
        <x:v>(現金＋流動金融資產＋應收款項)÷流動負債</x:v>
      </x:c>
      <x:c r="J230" s="3" t="str">
        <x:v>計算底稿!J26</x:v>
      </x:c>
      <x:c r="K230" s="3" t="str">
        <x:v>原值為百分比；非直接以流動資產扣存貨。</x:v>
      </x:c>
      <x:c r="L230" s="3" t="str">
        <x:v>/Users/yuntzuyu/Downloads/e-loan/Quarter/e-Loan YQYQ-TransUnion Q2.xls</x:v>
      </x:c>
    </x:row>
    <x:row r="231" ht="25" customHeight="1">
      <x:c r="A231" s="3" t="str">
        <x:v>TRANSUNION</x:v>
      </x:c>
      <x:c r="B231" s="3" t="str">
        <x:v>2024-01-01~2024-12-31</x:v>
      </x:c>
      <x:c r="C231" s="3" t="str">
        <x:v>2024-12-31</x:v>
      </x:c>
      <x:c r="D231" s="3" t="str">
        <x:v>Debt ratio</x:v>
      </x:c>
      <x:c r="E231" s="7" t="n">
        <x:f>'計算底稿'!K26</x:f>
        <x:v>1.5444</x:v>
      </x:c>
      <x:c r="F231" s="3" t="str">
        <x:v>%</x:v>
      </x:c>
      <x:c r="G231" s="3" t="str">
        <x:v>原始報表數字</x:v>
      </x:c>
      <x:c r="H231" s="3" t="str">
        <x:v>Report1!D203, Report1!D62, Report1!D70</x:v>
      </x:c>
      <x:c r="I231" s="3" t="str">
        <x:v>總負債÷淨值</x:v>
      </x:c>
      <x:c r="J231" s="3" t="str">
        <x:v>計算底稿!K26</x:v>
      </x:c>
      <x:c r="K231" s="3" t="str">
        <x:v>實際為負債淨值比；非負債資產比，亦非有息債務比。</x:v>
      </x:c>
      <x:c r="L231" s="3" t="str">
        <x:v>/Users/yuntzuyu/Downloads/e-loan/Quarter/e-Loan YQYQ-TransUnion Q2.xls</x:v>
      </x:c>
    </x:row>
    <x:row r="232" ht="25" customHeight="1">
      <x:c r="A232" s="3" t="str">
        <x:v>TRANSUNION</x:v>
      </x:c>
      <x:c r="B232" s="3" t="str">
        <x:v>2024-01-01~2024-12-31</x:v>
      </x:c>
      <x:c r="C232" s="3" t="str">
        <x:v>2024-12-31</x:v>
      </x:c>
      <x:c r="D232" s="3" t="str">
        <x:v>Total debt</x:v>
      </x:c>
      <x:c r="E232" s="6" t="n">
        <x:f>'計算底稿'!L26</x:f>
        <x:v>5148</x:v>
      </x:c>
      <x:c r="F232" s="3" t="str">
        <x:v>USD  million</x:v>
      </x:c>
      <x:c r="G232" s="3" t="str">
        <x:v>推算值／列示項目小計</x:v>
      </x:c>
      <x:c r="H232" s="3" t="str">
        <x:v>Report1!D41, Report1!D43, Report1!D55, Report1!D56</x:v>
      </x:c>
      <x:c r="I232" s="3" t="str">
        <x:v>短期借款＋一年內到期長債＋長期銀行借款＋公司債</x:v>
      </x:c>
      <x:c r="J232" s="3" t="str">
        <x:v>計算底稿!L26</x:v>
      </x:c>
      <x:c r="K232" s="3" t="str">
        <x:v>空白項未計入；租賃等未另加，非契約確認總債務。</x:v>
      </x:c>
      <x:c r="L232" s="3" t="str">
        <x:v>/Users/yuntzuyu/Downloads/e-loan/Quarter/e-Loan YQYQ-TransUnion Q2.xls</x:v>
      </x:c>
    </x:row>
    <x:row r="233" ht="25" customHeight="1">
      <x:c r="A233" s="3" t="str">
        <x:v>TRANSUNION</x:v>
      </x:c>
      <x:c r="B233" s="3" t="str">
        <x:v>2024-01-01~2024-12-31</x:v>
      </x:c>
      <x:c r="C233" s="3" t="str">
        <x:v>2024-12-31</x:v>
      </x:c>
      <x:c r="D233" s="3" t="str">
        <x:v>EBITDA（報表口徑）</x:v>
      </x:c>
      <x:c r="E233" s="6" t="n">
        <x:f>'計算底稿'!M26</x:f>
        <x:v>1190</x:v>
      </x:c>
      <x:c r="F233" s="3" t="str">
        <x:v>USD  million</x:v>
      </x:c>
      <x:c r="G233" s="3" t="str">
        <x:v>推算值</x:v>
      </x:c>
      <x:c r="H233" s="3" t="str">
        <x:v>Report1!D111, Report1!D106, Report1!D121, Report1!D201</x:v>
      </x:c>
      <x:c r="I233" s="3" t="str">
        <x:v>稅前損益＋利息費用＋折舊攤銷</x:v>
      </x:c>
      <x:c r="J233" s="3" t="str">
        <x:v>計算底稿!M26</x:v>
      </x:c>
      <x:c r="K233" s="3" t="str">
        <x:v>可重現原表EBITDA/Interest；含業外損益。</x:v>
      </x:c>
      <x:c r="L233" s="3" t="str">
        <x:v>/Users/yuntzuyu/Downloads/e-loan/Quarter/e-Loan YQYQ-TransUnion Q2.xls</x:v>
      </x:c>
    </x:row>
    <x:row r="234" ht="25" customHeight="1">
      <x:c r="A234" s="3" t="str">
        <x:v>TRANSUNION</x:v>
      </x:c>
      <x:c r="B234" s="3" t="str">
        <x:v>2024-01-01~2024-12-31</x:v>
      </x:c>
      <x:c r="C234" s="3" t="str">
        <x:v>2024-12-31</x:v>
      </x:c>
      <x:c r="D234" s="3" t="str">
        <x:v>EBITDA basis</x:v>
      </x:c>
      <x:c r="E234" s="3" t="str">
        <x:v>稅前損益＋利息＋折舊攤銷</x:v>
      </x:c>
      <x:c r="F234" s="3" t="str">
        <x:v>文字</x:v>
      </x:c>
      <x:c r="G234" s="3" t="str">
        <x:v>口徑說明</x:v>
      </x:c>
      <x:c r="H234" s="3" t="str">
        <x:v>Report1!D111, Report1!D106, Report1!D121</x:v>
      </x:c>
      <x:c r="I234" s="3" t="str">
        <x:v>稅前損益＋利息費用＋折舊攤銷</x:v>
      </x:c>
      <x:c r="J234" s="3" t="str">
        <x:v>計算底稿!M26</x:v>
      </x:c>
      <x:c r="K234" s="3" t="str">
        <x:v>本列為文字定義；不代表Adjusted或契約EBITDA。</x:v>
      </x:c>
      <x:c r="L234" s="3" t="str">
        <x:v>/Users/yuntzuyu/Downloads/e-loan/Quarter/e-Loan YQYQ-TransUnion Q2.xls</x:v>
      </x:c>
    </x:row>
    <x:row r="235" ht="25" customHeight="1">
      <x:c r="A235" s="3" t="str">
        <x:v>TRANSUNION</x:v>
      </x:c>
      <x:c r="B235" s="3" t="str">
        <x:v>2024-01-01~2024-12-31</x:v>
      </x:c>
      <x:c r="C235" s="3" t="str">
        <x:v>2024-12-31</x:v>
      </x:c>
      <x:c r="D235" s="3" t="str">
        <x:v>LTM EBITDA</x:v>
      </x:c>
      <x:c r="E235" s="6" t="n">
        <x:f>'計算底稿'!P26</x:f>
        <x:v>1190</x:v>
      </x:c>
      <x:c r="F235" s="3" t="str">
        <x:v>USD  million</x:v>
      </x:c>
      <x:c r="G235" s="3" t="str">
        <x:v>推算值</x:v>
      </x:c>
      <x:c r="H235" s="3" t="str">
        <x:v>Report1!D111, Report1!D106, Report1!D121</x:v>
      </x:c>
      <x:c r="I235" s="3" t="str">
        <x:v>全年：當年EBITDA；期中：前全年＋本YTD−前YTD</x:v>
      </x:c>
      <x:c r="J235" s="3" t="str">
        <x:v>計算底稿!P26</x:v>
      </x:c>
      <x:c r="K235" s="3" t="str">
        <x:v>期中缺前同期則資料不足；不採YTD×2或×4。</x:v>
      </x:c>
      <x:c r="L235" s="3" t="str">
        <x:v>/Users/yuntzuyu/Downloads/e-loan/Quarter/e-Loan YQYQ-TransUnion Q2.xls</x:v>
      </x:c>
    </x:row>
    <x:row r="236" ht="25" customHeight="1">
      <x:c r="A236" s="3" t="str">
        <x:v>TRANSUNION</x:v>
      </x:c>
      <x:c r="B236" s="3" t="str">
        <x:v>2024-01-01~2024-12-31</x:v>
      </x:c>
      <x:c r="C236" s="3" t="str">
        <x:v>2024-12-31</x:v>
      </x:c>
      <x:c r="D236" s="3" t="str">
        <x:v>Total leverage ratio</x:v>
      </x:c>
      <x:c r="E236" s="8" t="n">
        <x:f>'計算底稿'!Q26</x:f>
        <x:v>4.326050420168067</x:v>
      </x:c>
      <x:c r="F236" s="3" t="str">
        <x:v>倍</x:v>
      </x:c>
      <x:c r="G236" s="3" t="str">
        <x:v>推算值／非契約倍數</x:v>
      </x:c>
      <x:c r="H236" s="3" t="str">
        <x:v>Report1!D41, Report1!D43, Report1!D55, Report1!D56, Report1!D111, Report1!D106, Report1!D121</x:v>
      </x:c>
      <x:c r="I236" s="3" t="str">
        <x:v>期末列示債務合計÷LTM EBITDA</x:v>
      </x:c>
      <x:c r="J236" s="3" t="str">
        <x:v>計算底稿!Q26</x:v>
      </x:c>
      <x:c r="K236" s="3" t="str">
        <x:v>未扣現金；不含未辨識租賃；EBITDA≤0時標示不具意義。</x:v>
      </x:c>
      <x:c r="L236" s="3" t="str">
        <x:v>/Users/yuntzuyu/Downloads/e-loan/Quarter/e-Loan YQYQ-TransUnion Q2.xls</x:v>
      </x:c>
    </x:row>
    <x:row r="237" ht="25" customHeight="1">
      <x:c r="A237" s="3" t="str">
        <x:v>TRANSUNION</x:v>
      </x:c>
      <x:c r="B237" s="3" t="str">
        <x:v>2025-01-01~2025-06-30</x:v>
      </x:c>
      <x:c r="C237" s="3" t="str">
        <x:v>2025-06-30</x:v>
      </x:c>
      <x:c r="D237" s="3" t="str">
        <x:v>Cost of revenues</x:v>
      </x:c>
      <x:c r="E237" s="6" t="n">
        <x:f>'計算底稿'!F27</x:f>
        <x:v>916</x:v>
      </x:c>
      <x:c r="F237" s="3" t="str">
        <x:v>USD  million</x:v>
      </x:c>
      <x:c r="G237" s="3" t="str">
        <x:v>原始報表數字</x:v>
      </x:c>
      <x:c r="H237" s="3" t="str">
        <x:v>Report1!I86</x:v>
      </x:c>
      <x:c r="I237" s="3" t="str">
        <x:v>營收−毛利（驗算）</x:v>
      </x:c>
      <x:c r="J237" s="3" t="str">
        <x:v>計算底稿!F27</x:v>
      </x:c>
      <x:c r="K237" s="3" t="str">
        <x:v>對應Operating Cost/COGS；缺成本細項。</x:v>
      </x:c>
      <x:c r="L237" s="3" t="str">
        <x:v>/Users/yuntzuyu/Downloads/e-loan/Quarter/e-Loan YQYQ-TransUnion Q2.xls</x:v>
      </x:c>
    </x:row>
    <x:row r="238" ht="25" customHeight="1">
      <x:c r="A238" s="3" t="str">
        <x:v>TRANSUNION</x:v>
      </x:c>
      <x:c r="B238" s="3" t="str">
        <x:v>2025-01-01~2025-06-30</x:v>
      </x:c>
      <x:c r="C238" s="3" t="str">
        <x:v>2025-06-30</x:v>
      </x:c>
      <x:c r="D238" s="3" t="str">
        <x:v>Gross profit</x:v>
      </x:c>
      <x:c r="E238" s="6" t="n">
        <x:f>'計算底稿'!G27</x:f>
        <x:v>1320</x:v>
      </x:c>
      <x:c r="F238" s="3" t="str">
        <x:v>USD  million</x:v>
      </x:c>
      <x:c r="G238" s="3" t="str">
        <x:v>原始報表數字</x:v>
      </x:c>
      <x:c r="H238" s="3" t="str">
        <x:v>Report1!I94, Report1!I80, Report1!I86</x:v>
      </x:c>
      <x:c r="I238" s="3" t="str">
        <x:v>營收−營收成本</x:v>
      </x:c>
      <x:c r="J238" s="3" t="str">
        <x:v>計算底稿!G27</x:v>
      </x:c>
      <x:c r="K238" s="3" t="str">
        <x:v>原值與驗算一致。</x:v>
      </x:c>
      <x:c r="L238" s="3" t="str">
        <x:v>/Users/yuntzuyu/Downloads/e-loan/Quarter/e-Loan YQYQ-TransUnion Q2.xls</x:v>
      </x:c>
    </x:row>
    <x:row r="239" ht="25" customHeight="1">
      <x:c r="A239" s="3" t="str">
        <x:v>TRANSUNION</x:v>
      </x:c>
      <x:c r="B239" s="3" t="str">
        <x:v>2025-01-01~2025-06-30</x:v>
      </x:c>
      <x:c r="C239" s="3" t="str">
        <x:v>2025-06-30</x:v>
      </x:c>
      <x:c r="D239" s="3" t="str">
        <x:v>Operating expense</x:v>
      </x:c>
      <x:c r="E239" s="6" t="n">
        <x:f>'計算底稿'!H27</x:f>
        <x:v>873</x:v>
      </x:c>
      <x:c r="F239" s="3" t="str">
        <x:v>USD  million</x:v>
      </x:c>
      <x:c r="G239" s="3" t="str">
        <x:v>原始報表數字</x:v>
      </x:c>
      <x:c r="H239" s="3" t="str">
        <x:v>Report1!I96, Report1!I94, Report1!I97</x:v>
      </x:c>
      <x:c r="I239" s="3" t="str">
        <x:v>毛利−營業利益（驗算）</x:v>
      </x:c>
      <x:c r="J239" s="3" t="str">
        <x:v>計算底稿!H27</x:v>
      </x:c>
      <x:c r="K239" s="3" t="str">
        <x:v>缺銷管、研發、減損等細分。</x:v>
      </x:c>
      <x:c r="L239" s="3" t="str">
        <x:v>/Users/yuntzuyu/Downloads/e-loan/Quarter/e-Loan YQYQ-TransUnion Q2.xls</x:v>
      </x:c>
    </x:row>
    <x:row r="240" ht="25" customHeight="1">
      <x:c r="A240" s="3" t="str">
        <x:v>TRANSUNION</x:v>
      </x:c>
      <x:c r="B240" s="3" t="str">
        <x:v>2025-01-01~2025-06-30</x:v>
      </x:c>
      <x:c r="C240" s="3" t="str">
        <x:v>2025-06-30</x:v>
      </x:c>
      <x:c r="D240" s="3" t="str">
        <x:v>Interest expense</x:v>
      </x:c>
      <x:c r="E240" s="6" t="n">
        <x:f>'計算底稿'!I27</x:f>
        <x:v>112</x:v>
      </x:c>
      <x:c r="F240" s="3" t="str">
        <x:v>USD  million</x:v>
      </x:c>
      <x:c r="G240" s="3" t="str">
        <x:v>原始報表數字</x:v>
      </x:c>
      <x:c r="H240" s="3" t="str">
        <x:v>Report1!I106</x:v>
      </x:c>
      <x:c r="I240" s="3" t="str">
        <x:v>直接取原報表第106列</x:v>
      </x:c>
      <x:c r="J240" s="3" t="str">
        <x:v>計算底稿!I27</x:v>
      </x:c>
      <x:c r="K240" s="3" t="str">
        <x:v>屬應計費用；不是現金付息，也不以期末債務×利率替代。</x:v>
      </x:c>
      <x:c r="L240" s="3" t="str">
        <x:v>/Users/yuntzuyu/Downloads/e-loan/Quarter/e-Loan YQYQ-TransUnion Q2.xls</x:v>
      </x:c>
    </x:row>
    <x:row r="241" ht="25" customHeight="1">
      <x:c r="A241" s="3" t="str">
        <x:v>TRANSUNION</x:v>
      </x:c>
      <x:c r="B241" s="3" t="str">
        <x:v>2025-01-01~2025-06-30</x:v>
      </x:c>
      <x:c r="C241" s="3" t="str">
        <x:v>2025-06-30</x:v>
      </x:c>
      <x:c r="D241" s="3" t="str">
        <x:v>Quick ratio</x:v>
      </x:c>
      <x:c r="E241" s="7" t="n">
        <x:f>'計算底稿'!J27</x:f>
        <x:v>1.6833</x:v>
      </x:c>
      <x:c r="F241" s="3" t="str">
        <x:v>%</x:v>
      </x:c>
      <x:c r="G241" s="3" t="str">
        <x:v>原始報表數字</x:v>
      </x:c>
      <x:c r="H241" s="3" t="str">
        <x:v>Report1!I198, Report1!I11, Report1!I12, Report1!I13, Report1!I40</x:v>
      </x:c>
      <x:c r="I241" s="3" t="str">
        <x:v>(現金＋流動金融資產＋應收款項)÷流動負債</x:v>
      </x:c>
      <x:c r="J241" s="3" t="str">
        <x:v>計算底稿!J27</x:v>
      </x:c>
      <x:c r="K241" s="3" t="str">
        <x:v>原值為百分比；非直接以流動資產扣存貨。</x:v>
      </x:c>
      <x:c r="L241" s="3" t="str">
        <x:v>/Users/yuntzuyu/Downloads/e-loan/Quarter/e-Loan YQYQ-TransUnion Q2.xls</x:v>
      </x:c>
    </x:row>
    <x:row r="242" ht="25" customHeight="1">
      <x:c r="A242" s="3" t="str">
        <x:v>TRANSUNION</x:v>
      </x:c>
      <x:c r="B242" s="3" t="str">
        <x:v>2025-01-01~2025-06-30</x:v>
      </x:c>
      <x:c r="C242" s="3" t="str">
        <x:v>2025-06-30</x:v>
      </x:c>
      <x:c r="D242" s="3" t="str">
        <x:v>Debt ratio</x:v>
      </x:c>
      <x:c r="E242" s="7" t="n">
        <x:f>'計算底稿'!K27</x:f>
        <x:v>1.4034</x:v>
      </x:c>
      <x:c r="F242" s="3" t="str">
        <x:v>%</x:v>
      </x:c>
      <x:c r="G242" s="3" t="str">
        <x:v>原始報表數字</x:v>
      </x:c>
      <x:c r="H242" s="3" t="str">
        <x:v>Report1!I203, Report1!I62, Report1!I70</x:v>
      </x:c>
      <x:c r="I242" s="3" t="str">
        <x:v>總負債÷淨值</x:v>
      </x:c>
      <x:c r="J242" s="3" t="str">
        <x:v>計算底稿!K27</x:v>
      </x:c>
      <x:c r="K242" s="3" t="str">
        <x:v>實際為負債淨值比；非負債資產比，亦非有息債務比。</x:v>
      </x:c>
      <x:c r="L242" s="3" t="str">
        <x:v>/Users/yuntzuyu/Downloads/e-loan/Quarter/e-Loan YQYQ-TransUnion Q2.xls</x:v>
      </x:c>
    </x:row>
    <x:row r="243" ht="25" customHeight="1">
      <x:c r="A243" s="3" t="str">
        <x:v>TRANSUNION</x:v>
      </x:c>
      <x:c r="B243" s="3" t="str">
        <x:v>2025-01-01~2025-06-30</x:v>
      </x:c>
      <x:c r="C243" s="3" t="str">
        <x:v>2025-06-30</x:v>
      </x:c>
      <x:c r="D243" s="3" t="str">
        <x:v>Total debt</x:v>
      </x:c>
      <x:c r="E243" s="6" t="n">
        <x:f>'計算底稿'!L27</x:f>
        <x:v>5136</x:v>
      </x:c>
      <x:c r="F243" s="3" t="str">
        <x:v>USD  million</x:v>
      </x:c>
      <x:c r="G243" s="3" t="str">
        <x:v>推算值／列示項目小計</x:v>
      </x:c>
      <x:c r="H243" s="3" t="str">
        <x:v>Report1!I41, Report1!I43, Report1!I55, Report1!I56</x:v>
      </x:c>
      <x:c r="I243" s="3" t="str">
        <x:v>短期借款＋一年內到期長債＋長期銀行借款＋公司債</x:v>
      </x:c>
      <x:c r="J243" s="3" t="str">
        <x:v>計算底稿!L27</x:v>
      </x:c>
      <x:c r="K243" s="3" t="str">
        <x:v>空白項未計入；租賃等未另加，非契約確認總債務。</x:v>
      </x:c>
      <x:c r="L243" s="3" t="str">
        <x:v>/Users/yuntzuyu/Downloads/e-loan/Quarter/e-Loan YQYQ-TransUnion Q2.xls</x:v>
      </x:c>
    </x:row>
    <x:row r="244" ht="25" customHeight="1">
      <x:c r="A244" s="3" t="str">
        <x:v>TRANSUNION</x:v>
      </x:c>
      <x:c r="B244" s="3" t="str">
        <x:v>2025-01-01~2025-06-30</x:v>
      </x:c>
      <x:c r="C244" s="3" t="str">
        <x:v>2025-06-30</x:v>
      </x:c>
      <x:c r="D244" s="3" t="str">
        <x:v>EBITDA（報表口徑）</x:v>
      </x:c>
      <x:c r="E244" s="6" t="n">
        <x:f>'計算底稿'!M27</x:f>
        <x:v>744</x:v>
      </x:c>
      <x:c r="F244" s="3" t="str">
        <x:v>USD  million</x:v>
      </x:c>
      <x:c r="G244" s="3" t="str">
        <x:v>推算值</x:v>
      </x:c>
      <x:c r="H244" s="3" t="str">
        <x:v>Report1!I111, Report1!I106, Report1!I121, Report1!I201</x:v>
      </x:c>
      <x:c r="I244" s="3" t="str">
        <x:v>稅前損益＋利息費用＋折舊攤銷</x:v>
      </x:c>
      <x:c r="J244" s="3" t="str">
        <x:v>計算底稿!M27</x:v>
      </x:c>
      <x:c r="K244" s="3" t="str">
        <x:v>可重現原表EBITDA/Interest；含業外損益。</x:v>
      </x:c>
      <x:c r="L244" s="3" t="str">
        <x:v>/Users/yuntzuyu/Downloads/e-loan/Quarter/e-Loan YQYQ-TransUnion Q2.xls</x:v>
      </x:c>
    </x:row>
    <x:row r="245" ht="25" customHeight="1">
      <x:c r="A245" s="3" t="str">
        <x:v>TRANSUNION</x:v>
      </x:c>
      <x:c r="B245" s="3" t="str">
        <x:v>2025-01-01~2025-06-30</x:v>
      </x:c>
      <x:c r="C245" s="3" t="str">
        <x:v>2025-06-30</x:v>
      </x:c>
      <x:c r="D245" s="3" t="str">
        <x:v>EBITDA basis</x:v>
      </x:c>
      <x:c r="E245" s="3" t="str">
        <x:v>稅前損益＋利息＋折舊攤銷</x:v>
      </x:c>
      <x:c r="F245" s="3" t="str">
        <x:v>文字</x:v>
      </x:c>
      <x:c r="G245" s="3" t="str">
        <x:v>口徑說明</x:v>
      </x:c>
      <x:c r="H245" s="3" t="str">
        <x:v>Report1!I111, Report1!I106, Report1!I121</x:v>
      </x:c>
      <x:c r="I245" s="3" t="str">
        <x:v>稅前損益＋利息費用＋折舊攤銷</x:v>
      </x:c>
      <x:c r="J245" s="3" t="str">
        <x:v>計算底稿!M27</x:v>
      </x:c>
      <x:c r="K245" s="3" t="str">
        <x:v>本列為文字定義；不代表Adjusted或契約EBITDA。</x:v>
      </x:c>
      <x:c r="L245" s="3" t="str">
        <x:v>/Users/yuntzuyu/Downloads/e-loan/Quarter/e-Loan YQYQ-TransUnion Q2.xls</x:v>
      </x:c>
    </x:row>
    <x:row r="246" ht="25" customHeight="1">
      <x:c r="A246" s="3" t="str">
        <x:v>TRANSUNION</x:v>
      </x:c>
      <x:c r="B246" s="3" t="str">
        <x:v>2025-01-01~2025-06-30</x:v>
      </x:c>
      <x:c r="C246" s="3" t="str">
        <x:v>2025-06-30</x:v>
      </x:c>
      <x:c r="D246" s="3" t="str">
        <x:v>LTM EBITDA</x:v>
      </x:c>
      <x:c r="E246" s="6" t="str">
        <x:f>'計算底稿'!P27</x:f>
        <x:v>資料不足</x:v>
      </x:c>
      <x:c r="F246" s="3" t="str">
        <x:v>USD  million</x:v>
      </x:c>
      <x:c r="G246" s="3" t="str">
        <x:v>推算值</x:v>
      </x:c>
      <x:c r="H246" s="3" t="str">
        <x:v>Report1!I111, Report1!I106, Report1!I121</x:v>
      </x:c>
      <x:c r="I246" s="3" t="str">
        <x:v>全年：當年EBITDA；期中：前全年＋本YTD−前YTD</x:v>
      </x:c>
      <x:c r="J246" s="3" t="str">
        <x:v>計算底稿!P27</x:v>
      </x:c>
      <x:c r="K246" s="3" t="str">
        <x:v>期中缺前同期則資料不足；不採YTD×2或×4。</x:v>
      </x:c>
      <x:c r="L246" s="3" t="str">
        <x:v>/Users/yuntzuyu/Downloads/e-loan/Quarter/e-Loan YQYQ-TransUnion Q2.xls</x:v>
      </x:c>
    </x:row>
    <x:row r="247" ht="25" customHeight="1">
      <x:c r="A247" s="3" t="str">
        <x:v>TRANSUNION</x:v>
      </x:c>
      <x:c r="B247" s="3" t="str">
        <x:v>2025-01-01~2025-06-30</x:v>
      </x:c>
      <x:c r="C247" s="3" t="str">
        <x:v>2025-06-30</x:v>
      </x:c>
      <x:c r="D247" s="3" t="str">
        <x:v>Total leverage ratio</x:v>
      </x:c>
      <x:c r="E247" s="8" t="str">
        <x:f>'計算底稿'!Q27</x:f>
        <x:v>資料不足</x:v>
      </x:c>
      <x:c r="F247" s="3" t="str">
        <x:v>倍</x:v>
      </x:c>
      <x:c r="G247" s="3" t="str">
        <x:v>推算值／非契約倍數</x:v>
      </x:c>
      <x:c r="H247" s="3" t="str">
        <x:v>Report1!I41, Report1!I43, Report1!I55, Report1!I56, Report1!I111, Report1!I106, Report1!I121</x:v>
      </x:c>
      <x:c r="I247" s="3" t="str">
        <x:v>期末列示債務合計÷LTM EBITDA</x:v>
      </x:c>
      <x:c r="J247" s="3" t="str">
        <x:v>計算底稿!Q27</x:v>
      </x:c>
      <x:c r="K247" s="3" t="str">
        <x:v>未扣現金；不含未辨識租賃；EBITDA≤0時標示不具意義。</x:v>
      </x:c>
      <x:c r="L247" s="3" t="str">
        <x:v>/Users/yuntzuyu/Downloads/e-loan/Quarter/e-Loan YQYQ-TransUnion Q2.xls</x:v>
      </x:c>
    </x:row>
    <x:row r="248" ht="25" customHeight="1">
      <x:c r="A248" s="3" t="str">
        <x:v>TRANSUNION</x:v>
      </x:c>
      <x:c r="B248" s="3" t="str">
        <x:v>2025-01-01~2025-12-31</x:v>
      </x:c>
      <x:c r="C248" s="3" t="str">
        <x:v>2025-12-31</x:v>
      </x:c>
      <x:c r="D248" s="3" t="str">
        <x:v>Cost of revenues</x:v>
      </x:c>
      <x:c r="E248" s="6" t="n">
        <x:f>'計算底稿'!F28</x:f>
        <x:v>1872</x:v>
      </x:c>
      <x:c r="F248" s="3" t="str">
        <x:v>USD  million</x:v>
      </x:c>
      <x:c r="G248" s="3" t="str">
        <x:v>原始報表數字</x:v>
      </x:c>
      <x:c r="H248" s="3" t="str">
        <x:v>Report1!M86</x:v>
      </x:c>
      <x:c r="I248" s="3" t="str">
        <x:v>營收−毛利（驗算）</x:v>
      </x:c>
      <x:c r="J248" s="3" t="str">
        <x:v>計算底稿!F28</x:v>
      </x:c>
      <x:c r="K248" s="3" t="str">
        <x:v>對應Operating Cost/COGS；缺成本細項。</x:v>
      </x:c>
      <x:c r="L248" s="3" t="str">
        <x:v>/Users/yuntzuyu/Downloads/e-loan/Quarter/e-Loan YQYQ-TransUnion Q2.xls</x:v>
      </x:c>
    </x:row>
    <x:row r="249" ht="25" customHeight="1">
      <x:c r="A249" s="3" t="str">
        <x:v>TRANSUNION</x:v>
      </x:c>
      <x:c r="B249" s="3" t="str">
        <x:v>2025-01-01~2025-12-31</x:v>
      </x:c>
      <x:c r="C249" s="3" t="str">
        <x:v>2025-12-31</x:v>
      </x:c>
      <x:c r="D249" s="3" t="str">
        <x:v>Gross profit</x:v>
      </x:c>
      <x:c r="E249" s="6" t="n">
        <x:f>'計算底稿'!G28</x:f>
        <x:v>2704</x:v>
      </x:c>
      <x:c r="F249" s="3" t="str">
        <x:v>USD  million</x:v>
      </x:c>
      <x:c r="G249" s="3" t="str">
        <x:v>原始報表數字</x:v>
      </x:c>
      <x:c r="H249" s="3" t="str">
        <x:v>Report1!M94, Report1!M80, Report1!M86</x:v>
      </x:c>
      <x:c r="I249" s="3" t="str">
        <x:v>營收−營收成本</x:v>
      </x:c>
      <x:c r="J249" s="3" t="str">
        <x:v>計算底稿!G28</x:v>
      </x:c>
      <x:c r="K249" s="3" t="str">
        <x:v>原值與驗算一致。</x:v>
      </x:c>
      <x:c r="L249" s="3" t="str">
        <x:v>/Users/yuntzuyu/Downloads/e-loan/Quarter/e-Loan YQYQ-TransUnion Q2.xls</x:v>
      </x:c>
    </x:row>
    <x:row r="250" ht="25" customHeight="1">
      <x:c r="A250" s="3" t="str">
        <x:v>TRANSUNION</x:v>
      </x:c>
      <x:c r="B250" s="3" t="str">
        <x:v>2025-01-01~2025-12-31</x:v>
      </x:c>
      <x:c r="C250" s="3" t="str">
        <x:v>2025-12-31</x:v>
      </x:c>
      <x:c r="D250" s="3" t="str">
        <x:v>Operating expense</x:v>
      </x:c>
      <x:c r="E250" s="6" t="n">
        <x:f>'計算底稿'!H28</x:f>
        <x:v>1846</x:v>
      </x:c>
      <x:c r="F250" s="3" t="str">
        <x:v>USD  million</x:v>
      </x:c>
      <x:c r="G250" s="3" t="str">
        <x:v>原始報表數字</x:v>
      </x:c>
      <x:c r="H250" s="3" t="str">
        <x:v>Report1!M96, Report1!M94, Report1!M97</x:v>
      </x:c>
      <x:c r="I250" s="3" t="str">
        <x:v>毛利−營業利益（驗算）</x:v>
      </x:c>
      <x:c r="J250" s="3" t="str">
        <x:v>計算底稿!H28</x:v>
      </x:c>
      <x:c r="K250" s="3" t="str">
        <x:v>缺銷管、研發、減損等細分。</x:v>
      </x:c>
      <x:c r="L250" s="3" t="str">
        <x:v>/Users/yuntzuyu/Downloads/e-loan/Quarter/e-Loan YQYQ-TransUnion Q2.xls</x:v>
      </x:c>
    </x:row>
    <x:row r="251" ht="25" customHeight="1">
      <x:c r="A251" s="3" t="str">
        <x:v>TRANSUNION</x:v>
      </x:c>
      <x:c r="B251" s="3" t="str">
        <x:v>2025-01-01~2025-12-31</x:v>
      </x:c>
      <x:c r="C251" s="3" t="str">
        <x:v>2025-12-31</x:v>
      </x:c>
      <x:c r="D251" s="3" t="str">
        <x:v>Interest expense</x:v>
      </x:c>
      <x:c r="E251" s="6" t="n">
        <x:f>'計算底稿'!I28</x:f>
        <x:v>236</x:v>
      </x:c>
      <x:c r="F251" s="3" t="str">
        <x:v>USD  million</x:v>
      </x:c>
      <x:c r="G251" s="3" t="str">
        <x:v>原始報表數字</x:v>
      </x:c>
      <x:c r="H251" s="3" t="str">
        <x:v>Report1!M106</x:v>
      </x:c>
      <x:c r="I251" s="3" t="str">
        <x:v>直接取原報表第106列</x:v>
      </x:c>
      <x:c r="J251" s="3" t="str">
        <x:v>計算底稿!I28</x:v>
      </x:c>
      <x:c r="K251" s="3" t="str">
        <x:v>屬應計費用；不是現金付息，也不以期末債務×利率替代。</x:v>
      </x:c>
      <x:c r="L251" s="3" t="str">
        <x:v>/Users/yuntzuyu/Downloads/e-loan/Quarter/e-Loan YQYQ-TransUnion Q2.xls</x:v>
      </x:c>
    </x:row>
    <x:row r="252" ht="25" customHeight="1">
      <x:c r="A252" s="3" t="str">
        <x:v>TRANSUNION</x:v>
      </x:c>
      <x:c r="B252" s="3" t="str">
        <x:v>2025-01-01~2025-12-31</x:v>
      </x:c>
      <x:c r="C252" s="3" t="str">
        <x:v>2025-12-31</x:v>
      </x:c>
      <x:c r="D252" s="3" t="str">
        <x:v>Quick ratio</x:v>
      </x:c>
      <x:c r="E252" s="7" t="n">
        <x:f>'計算底稿'!J28</x:f>
        <x:v>1.5221</x:v>
      </x:c>
      <x:c r="F252" s="3" t="str">
        <x:v>%</x:v>
      </x:c>
      <x:c r="G252" s="3" t="str">
        <x:v>原始報表數字</x:v>
      </x:c>
      <x:c r="H252" s="3" t="str">
        <x:v>Report1!M198, Report1!M11, Report1!M12, Report1!M13, Report1!M40</x:v>
      </x:c>
      <x:c r="I252" s="3" t="str">
        <x:v>(現金＋流動金融資產＋應收款項)÷流動負債</x:v>
      </x:c>
      <x:c r="J252" s="3" t="str">
        <x:v>計算底稿!J28</x:v>
      </x:c>
      <x:c r="K252" s="3" t="str">
        <x:v>原值為百分比；非直接以流動資產扣存貨。</x:v>
      </x:c>
      <x:c r="L252" s="3" t="str">
        <x:v>/Users/yuntzuyu/Downloads/e-loan/Quarter/e-Loan YQYQ-TransUnion Q2.xls</x:v>
      </x:c>
    </x:row>
    <x:row r="253" ht="25" customHeight="1">
      <x:c r="A253" s="3" t="str">
        <x:v>TRANSUNION</x:v>
      </x:c>
      <x:c r="B253" s="3" t="str">
        <x:v>2025-01-01~2025-12-31</x:v>
      </x:c>
      <x:c r="C253" s="3" t="str">
        <x:v>2025-12-31</x:v>
      </x:c>
      <x:c r="D253" s="3" t="str">
        <x:v>Debt ratio</x:v>
      </x:c>
      <x:c r="E253" s="7" t="n">
        <x:f>'計算底稿'!K28</x:f>
        <x:v>1.4450999999999998</x:v>
      </x:c>
      <x:c r="F253" s="3" t="str">
        <x:v>%</x:v>
      </x:c>
      <x:c r="G253" s="3" t="str">
        <x:v>原始報表數字</x:v>
      </x:c>
      <x:c r="H253" s="3" t="str">
        <x:v>Report1!M203, Report1!M62, Report1!M70</x:v>
      </x:c>
      <x:c r="I253" s="3" t="str">
        <x:v>總負債÷淨值</x:v>
      </x:c>
      <x:c r="J253" s="3" t="str">
        <x:v>計算底稿!K28</x:v>
      </x:c>
      <x:c r="K253" s="3" t="str">
        <x:v>實際為負債淨值比；非負債資產比，亦非有息債務比。</x:v>
      </x:c>
      <x:c r="L253" s="3" t="str">
        <x:v>/Users/yuntzuyu/Downloads/e-loan/Quarter/e-Loan YQYQ-TransUnion Q2.xls</x:v>
      </x:c>
    </x:row>
    <x:row r="254" ht="25" customHeight="1">
      <x:c r="A254" s="3" t="str">
        <x:v>TRANSUNION</x:v>
      </x:c>
      <x:c r="B254" s="3" t="str">
        <x:v>2025-01-01~2025-12-31</x:v>
      </x:c>
      <x:c r="C254" s="3" t="str">
        <x:v>2025-12-31</x:v>
      </x:c>
      <x:c r="D254" s="3" t="str">
        <x:v>Total debt</x:v>
      </x:c>
      <x:c r="E254" s="6" t="n">
        <x:f>'計算底稿'!L28</x:f>
        <x:v>5104</x:v>
      </x:c>
      <x:c r="F254" s="3" t="str">
        <x:v>USD  million</x:v>
      </x:c>
      <x:c r="G254" s="3" t="str">
        <x:v>推算值／列示項目小計</x:v>
      </x:c>
      <x:c r="H254" s="3" t="str">
        <x:v>Report1!M41, Report1!M43, Report1!M55, Report1!M56</x:v>
      </x:c>
      <x:c r="I254" s="3" t="str">
        <x:v>短期借款＋一年內到期長債＋長期銀行借款＋公司債</x:v>
      </x:c>
      <x:c r="J254" s="3" t="str">
        <x:v>計算底稿!L28</x:v>
      </x:c>
      <x:c r="K254" s="3" t="str">
        <x:v>空白項未計入；租賃等未另加，非契約確認總債務。</x:v>
      </x:c>
      <x:c r="L254" s="3" t="str">
        <x:v>/Users/yuntzuyu/Downloads/e-loan/Quarter/e-Loan YQYQ-TransUnion Q2.xls</x:v>
      </x:c>
    </x:row>
    <x:row r="255" ht="25" customHeight="1">
      <x:c r="A255" s="3" t="str">
        <x:v>TRANSUNION</x:v>
      </x:c>
      <x:c r="B255" s="3" t="str">
        <x:v>2025-01-01~2025-12-31</x:v>
      </x:c>
      <x:c r="C255" s="3" t="str">
        <x:v>2025-12-31</x:v>
      </x:c>
      <x:c r="D255" s="3" t="str">
        <x:v>EBITDA（報表口徑）</x:v>
      </x:c>
      <x:c r="E255" s="6" t="n">
        <x:f>'計算底稿'!M28</x:f>
        <x:v>1424</x:v>
      </x:c>
      <x:c r="F255" s="3" t="str">
        <x:v>USD  million</x:v>
      </x:c>
      <x:c r="G255" s="3" t="str">
        <x:v>推算值</x:v>
      </x:c>
      <x:c r="H255" s="3" t="str">
        <x:v>Report1!M111, Report1!M106, Report1!M121, Report1!M201</x:v>
      </x:c>
      <x:c r="I255" s="3" t="str">
        <x:v>稅前損益＋利息費用＋折舊攤銷</x:v>
      </x:c>
      <x:c r="J255" s="3" t="str">
        <x:v>計算底稿!M28</x:v>
      </x:c>
      <x:c r="K255" s="3" t="str">
        <x:v>可重現原表EBITDA/Interest；含業外損益。</x:v>
      </x:c>
      <x:c r="L255" s="3" t="str">
        <x:v>/Users/yuntzuyu/Downloads/e-loan/Quarter/e-Loan YQYQ-TransUnion Q2.xls</x:v>
      </x:c>
    </x:row>
    <x:row r="256" ht="25" customHeight="1">
      <x:c r="A256" s="3" t="str">
        <x:v>TRANSUNION</x:v>
      </x:c>
      <x:c r="B256" s="3" t="str">
        <x:v>2025-01-01~2025-12-31</x:v>
      </x:c>
      <x:c r="C256" s="3" t="str">
        <x:v>2025-12-31</x:v>
      </x:c>
      <x:c r="D256" s="3" t="str">
        <x:v>EBITDA basis</x:v>
      </x:c>
      <x:c r="E256" s="3" t="str">
        <x:v>稅前損益＋利息＋折舊攤銷</x:v>
      </x:c>
      <x:c r="F256" s="3" t="str">
        <x:v>文字</x:v>
      </x:c>
      <x:c r="G256" s="3" t="str">
        <x:v>口徑說明</x:v>
      </x:c>
      <x:c r="H256" s="3" t="str">
        <x:v>Report1!M111, Report1!M106, Report1!M121</x:v>
      </x:c>
      <x:c r="I256" s="3" t="str">
        <x:v>稅前損益＋利息費用＋折舊攤銷</x:v>
      </x:c>
      <x:c r="J256" s="3" t="str">
        <x:v>計算底稿!M28</x:v>
      </x:c>
      <x:c r="K256" s="3" t="str">
        <x:v>本列為文字定義；不代表Adjusted或契約EBITDA。</x:v>
      </x:c>
      <x:c r="L256" s="3" t="str">
        <x:v>/Users/yuntzuyu/Downloads/e-loan/Quarter/e-Loan YQYQ-TransUnion Q2.xls</x:v>
      </x:c>
    </x:row>
    <x:row r="257" ht="25" customHeight="1">
      <x:c r="A257" s="3" t="str">
        <x:v>TRANSUNION</x:v>
      </x:c>
      <x:c r="B257" s="3" t="str">
        <x:v>2025-01-01~2025-12-31</x:v>
      </x:c>
      <x:c r="C257" s="3" t="str">
        <x:v>2025-12-31</x:v>
      </x:c>
      <x:c r="D257" s="3" t="str">
        <x:v>LTM EBITDA</x:v>
      </x:c>
      <x:c r="E257" s="6" t="n">
        <x:f>'計算底稿'!P28</x:f>
        <x:v>1424</x:v>
      </x:c>
      <x:c r="F257" s="3" t="str">
        <x:v>USD  million</x:v>
      </x:c>
      <x:c r="G257" s="3" t="str">
        <x:v>推算值</x:v>
      </x:c>
      <x:c r="H257" s="3" t="str">
        <x:v>Report1!M111, Report1!M106, Report1!M121</x:v>
      </x:c>
      <x:c r="I257" s="3" t="str">
        <x:v>全年：當年EBITDA；期中：前全年＋本YTD−前YTD</x:v>
      </x:c>
      <x:c r="J257" s="3" t="str">
        <x:v>計算底稿!P28</x:v>
      </x:c>
      <x:c r="K257" s="3" t="str">
        <x:v>期中缺前同期則資料不足；不採YTD×2或×4。</x:v>
      </x:c>
      <x:c r="L257" s="3" t="str">
        <x:v>/Users/yuntzuyu/Downloads/e-loan/Quarter/e-Loan YQYQ-TransUnion Q2.xls</x:v>
      </x:c>
    </x:row>
    <x:row r="258" ht="25" customHeight="1">
      <x:c r="A258" s="3" t="str">
        <x:v>TRANSUNION</x:v>
      </x:c>
      <x:c r="B258" s="3" t="str">
        <x:v>2025-01-01~2025-12-31</x:v>
      </x:c>
      <x:c r="C258" s="3" t="str">
        <x:v>2025-12-31</x:v>
      </x:c>
      <x:c r="D258" s="3" t="str">
        <x:v>Total leverage ratio</x:v>
      </x:c>
      <x:c r="E258" s="8" t="n">
        <x:f>'計算底稿'!Q28</x:f>
        <x:v>3.5842696629213484</x:v>
      </x:c>
      <x:c r="F258" s="3" t="str">
        <x:v>倍</x:v>
      </x:c>
      <x:c r="G258" s="3" t="str">
        <x:v>推算值／非契約倍數</x:v>
      </x:c>
      <x:c r="H258" s="3" t="str">
        <x:v>Report1!M41, Report1!M43, Report1!M55, Report1!M56, Report1!M111, Report1!M106, Report1!M121</x:v>
      </x:c>
      <x:c r="I258" s="3" t="str">
        <x:v>期末列示債務合計÷LTM EBITDA</x:v>
      </x:c>
      <x:c r="J258" s="3" t="str">
        <x:v>計算底稿!Q28</x:v>
      </x:c>
      <x:c r="K258" s="3" t="str">
        <x:v>未扣現金；不含未辨識租賃；EBITDA≤0時標示不具意義。</x:v>
      </x:c>
      <x:c r="L258" s="3" t="str">
        <x:v>/Users/yuntzuyu/Downloads/e-loan/Quarter/e-Loan YQYQ-TransUnion Q2.xls</x:v>
      </x:c>
    </x:row>
    <x:row r="259" ht="25" customHeight="1">
      <x:c r="A259" s="3" t="str">
        <x:v>TRANSUNION</x:v>
      </x:c>
      <x:c r="B259" s="3" t="str">
        <x:v>2026-01-01~2026-06-30</x:v>
      </x:c>
      <x:c r="C259" s="3" t="str">
        <x:v>2026-06-30</x:v>
      </x:c>
      <x:c r="D259" s="3" t="str">
        <x:v>Cost of revenues</x:v>
      </x:c>
      <x:c r="E259" s="6" t="n">
        <x:f>'計算底稿'!F29</x:f>
        <x:v>1064</x:v>
      </x:c>
      <x:c r="F259" s="3" t="str">
        <x:v>USD  million</x:v>
      </x:c>
      <x:c r="G259" s="3" t="str">
        <x:v>原始報表數字</x:v>
      </x:c>
      <x:c r="H259" s="3" t="str">
        <x:v>Report1!R86</x:v>
      </x:c>
      <x:c r="I259" s="3" t="str">
        <x:v>營收−毛利（驗算）</x:v>
      </x:c>
      <x:c r="J259" s="3" t="str">
        <x:v>計算底稿!F29</x:v>
      </x:c>
      <x:c r="K259" s="3" t="str">
        <x:v>對應Operating Cost/COGS；缺成本細項。</x:v>
      </x:c>
      <x:c r="L259" s="3" t="str">
        <x:v>/Users/yuntzuyu/Downloads/e-loan/Quarter/e-Loan YQYQ-TransUnion Q2.xls</x:v>
      </x:c>
    </x:row>
    <x:row r="260" ht="25" customHeight="1">
      <x:c r="A260" s="3" t="str">
        <x:v>TRANSUNION</x:v>
      </x:c>
      <x:c r="B260" s="3" t="str">
        <x:v>2026-01-01~2026-06-30</x:v>
      </x:c>
      <x:c r="C260" s="3" t="str">
        <x:v>2026-06-30</x:v>
      </x:c>
      <x:c r="D260" s="3" t="str">
        <x:v>Gross profit</x:v>
      </x:c>
      <x:c r="E260" s="6" t="n">
        <x:f>'計算底稿'!G29</x:f>
        <x:v>1491</x:v>
      </x:c>
      <x:c r="F260" s="3" t="str">
        <x:v>USD  million</x:v>
      </x:c>
      <x:c r="G260" s="3" t="str">
        <x:v>原始報表數字</x:v>
      </x:c>
      <x:c r="H260" s="3" t="str">
        <x:v>Report1!R94, Report1!R80, Report1!R86</x:v>
      </x:c>
      <x:c r="I260" s="3" t="str">
        <x:v>營收−營收成本</x:v>
      </x:c>
      <x:c r="J260" s="3" t="str">
        <x:v>計算底稿!G29</x:v>
      </x:c>
      <x:c r="K260" s="3" t="str">
        <x:v>原值與驗算一致。</x:v>
      </x:c>
      <x:c r="L260" s="3" t="str">
        <x:v>/Users/yuntzuyu/Downloads/e-loan/Quarter/e-Loan YQYQ-TransUnion Q2.xls</x:v>
      </x:c>
    </x:row>
    <x:row r="261" ht="25" customHeight="1">
      <x:c r="A261" s="3" t="str">
        <x:v>TRANSUNION</x:v>
      </x:c>
      <x:c r="B261" s="3" t="str">
        <x:v>2026-01-01~2026-06-30</x:v>
      </x:c>
      <x:c r="C261" s="3" t="str">
        <x:v>2026-06-30</x:v>
      </x:c>
      <x:c r="D261" s="3" t="str">
        <x:v>Operating expense</x:v>
      </x:c>
      <x:c r="E261" s="6" t="n">
        <x:f>'計算底稿'!H29</x:f>
        <x:v>988</x:v>
      </x:c>
      <x:c r="F261" s="3" t="str">
        <x:v>USD  million</x:v>
      </x:c>
      <x:c r="G261" s="3" t="str">
        <x:v>原始報表數字</x:v>
      </x:c>
      <x:c r="H261" s="3" t="str">
        <x:v>Report1!R96, Report1!R94, Report1!R97</x:v>
      </x:c>
      <x:c r="I261" s="3" t="str">
        <x:v>毛利−營業利益（驗算）</x:v>
      </x:c>
      <x:c r="J261" s="3" t="str">
        <x:v>計算底稿!H29</x:v>
      </x:c>
      <x:c r="K261" s="3" t="str">
        <x:v>缺銷管、研發、減損等細分。</x:v>
      </x:c>
      <x:c r="L261" s="3" t="str">
        <x:v>/Users/yuntzuyu/Downloads/e-loan/Quarter/e-Loan YQYQ-TransUnion Q2.xls</x:v>
      </x:c>
    </x:row>
    <x:row r="262" ht="25" customHeight="1">
      <x:c r="A262" s="3" t="str">
        <x:v>TRANSUNION</x:v>
      </x:c>
      <x:c r="B262" s="3" t="str">
        <x:v>2026-01-01~2026-06-30</x:v>
      </x:c>
      <x:c r="C262" s="3" t="str">
        <x:v>2026-06-30</x:v>
      </x:c>
      <x:c r="D262" s="3" t="str">
        <x:v>Interest expense</x:v>
      </x:c>
      <x:c r="E262" s="6" t="n">
        <x:f>'計算底稿'!I29</x:f>
        <x:v>128</x:v>
      </x:c>
      <x:c r="F262" s="3" t="str">
        <x:v>USD  million</x:v>
      </x:c>
      <x:c r="G262" s="3" t="str">
        <x:v>原始報表數字</x:v>
      </x:c>
      <x:c r="H262" s="3" t="str">
        <x:v>Report1!R106</x:v>
      </x:c>
      <x:c r="I262" s="3" t="str">
        <x:v>直接取原報表第106列</x:v>
      </x:c>
      <x:c r="J262" s="3" t="str">
        <x:v>計算底稿!I29</x:v>
      </x:c>
      <x:c r="K262" s="3" t="str">
        <x:v>屬應計費用；不是現金付息，也不以期末債務×利率替代。</x:v>
      </x:c>
      <x:c r="L262" s="3" t="str">
        <x:v>/Users/yuntzuyu/Downloads/e-loan/Quarter/e-Loan YQYQ-TransUnion Q2.xls</x:v>
      </x:c>
    </x:row>
    <x:row r="263" ht="25" customHeight="1">
      <x:c r="A263" s="3" t="str">
        <x:v>TRANSUNION</x:v>
      </x:c>
      <x:c r="B263" s="3" t="str">
        <x:v>2026-01-01~2026-06-30</x:v>
      </x:c>
      <x:c r="C263" s="3" t="str">
        <x:v>2026-06-30</x:v>
      </x:c>
      <x:c r="D263" s="3" t="str">
        <x:v>Quick ratio</x:v>
      </x:c>
      <x:c r="E263" s="7" t="n">
        <x:f>'計算底稿'!J29</x:f>
        <x:v>1.6466</x:v>
      </x:c>
      <x:c r="F263" s="3" t="str">
        <x:v>%</x:v>
      </x:c>
      <x:c r="G263" s="3" t="str">
        <x:v>原始報表數字</x:v>
      </x:c>
      <x:c r="H263" s="3" t="str">
        <x:v>Report1!R198, Report1!R11, Report1!R12, Report1!R13, Report1!R40</x:v>
      </x:c>
      <x:c r="I263" s="3" t="str">
        <x:v>(現金＋流動金融資產＋應收款項)÷流動負債</x:v>
      </x:c>
      <x:c r="J263" s="3" t="str">
        <x:v>計算底稿!J29</x:v>
      </x:c>
      <x:c r="K263" s="3" t="str">
        <x:v>原值為百分比；非直接以流動資產扣存貨。</x:v>
      </x:c>
      <x:c r="L263" s="3" t="str">
        <x:v>/Users/yuntzuyu/Downloads/e-loan/Quarter/e-Loan YQYQ-TransUnion Q2.xls</x:v>
      </x:c>
    </x:row>
    <x:row r="264" ht="25" customHeight="1">
      <x:c r="A264" s="3" t="str">
        <x:v>TRANSUNION</x:v>
      </x:c>
      <x:c r="B264" s="3" t="str">
        <x:v>2026-01-01~2026-06-30</x:v>
      </x:c>
      <x:c r="C264" s="3" t="str">
        <x:v>2026-06-30</x:v>
      </x:c>
      <x:c r="D264" s="3" t="str">
        <x:v>Debt ratio</x:v>
      </x:c>
      <x:c r="E264" s="7" t="n">
        <x:f>'計算底稿'!K29</x:f>
        <x:v>1.4385</x:v>
      </x:c>
      <x:c r="F264" s="3" t="str">
        <x:v>%</x:v>
      </x:c>
      <x:c r="G264" s="3" t="str">
        <x:v>原始報表數字</x:v>
      </x:c>
      <x:c r="H264" s="3" t="str">
        <x:v>Report1!R203, Report1!R62, Report1!R70</x:v>
      </x:c>
      <x:c r="I264" s="3" t="str">
        <x:v>總負債÷淨值</x:v>
      </x:c>
      <x:c r="J264" s="3" t="str">
        <x:v>計算底稿!K29</x:v>
      </x:c>
      <x:c r="K264" s="3" t="str">
        <x:v>實際為負債淨值比；非負債資產比，亦非有息債務比。</x:v>
      </x:c>
      <x:c r="L264" s="3" t="str">
        <x:v>/Users/yuntzuyu/Downloads/e-loan/Quarter/e-Loan YQYQ-TransUnion Q2.xls</x:v>
      </x:c>
    </x:row>
    <x:row r="265" ht="25" customHeight="1">
      <x:c r="A265" s="3" t="str">
        <x:v>TRANSUNION</x:v>
      </x:c>
      <x:c r="B265" s="3" t="str">
        <x:v>2026-01-01~2026-06-30</x:v>
      </x:c>
      <x:c r="C265" s="3" t="str">
        <x:v>2026-06-30</x:v>
      </x:c>
      <x:c r="D265" s="3" t="str">
        <x:v>Total debt</x:v>
      </x:c>
      <x:c r="E265" s="6" t="n">
        <x:f>'計算底稿'!L29</x:f>
        <x:v>5585</x:v>
      </x:c>
      <x:c r="F265" s="3" t="str">
        <x:v>USD  million</x:v>
      </x:c>
      <x:c r="G265" s="3" t="str">
        <x:v>推算值／列示項目小計</x:v>
      </x:c>
      <x:c r="H265" s="3" t="str">
        <x:v>Report1!R41, Report1!R43, Report1!R55, Report1!R56</x:v>
      </x:c>
      <x:c r="I265" s="3" t="str">
        <x:v>短期借款＋一年內到期長債＋長期銀行借款＋公司債</x:v>
      </x:c>
      <x:c r="J265" s="3" t="str">
        <x:v>計算底稿!L29</x:v>
      </x:c>
      <x:c r="K265" s="3" t="str">
        <x:v>空白項未計入；租賃等未另加，非契約確認總債務。</x:v>
      </x:c>
      <x:c r="L265" s="3" t="str">
        <x:v>/Users/yuntzuyu/Downloads/e-loan/Quarter/e-Loan YQYQ-TransUnion Q2.xls</x:v>
      </x:c>
    </x:row>
    <x:row r="266" ht="25" customHeight="1">
      <x:c r="A266" s="3" t="str">
        <x:v>TRANSUNION</x:v>
      </x:c>
      <x:c r="B266" s="3" t="str">
        <x:v>2026-01-01~2026-06-30</x:v>
      </x:c>
      <x:c r="C266" s="3" t="str">
        <x:v>2026-06-30</x:v>
      </x:c>
      <x:c r="D266" s="3" t="str">
        <x:v>EBITDA（報表口徑）</x:v>
      </x:c>
      <x:c r="E266" s="6" t="n">
        <x:f>'計算底稿'!M29</x:f>
        <x:v>1070</x:v>
      </x:c>
      <x:c r="F266" s="3" t="str">
        <x:v>USD  million</x:v>
      </x:c>
      <x:c r="G266" s="3" t="str">
        <x:v>推算值</x:v>
      </x:c>
      <x:c r="H266" s="3" t="str">
        <x:v>Report1!R111, Report1!R106, Report1!R121, Report1!R201</x:v>
      </x:c>
      <x:c r="I266" s="3" t="str">
        <x:v>稅前損益＋利息費用＋折舊攤銷</x:v>
      </x:c>
      <x:c r="J266" s="3" t="str">
        <x:v>計算底稿!M29</x:v>
      </x:c>
      <x:c r="K266" s="3" t="str">
        <x:v>可重現原表EBITDA/Interest；含業外損益。</x:v>
      </x:c>
      <x:c r="L266" s="3" t="str">
        <x:v>/Users/yuntzuyu/Downloads/e-loan/Quarter/e-Loan YQYQ-TransUnion Q2.xls</x:v>
      </x:c>
    </x:row>
    <x:row r="267" ht="25" customHeight="1">
      <x:c r="A267" s="3" t="str">
        <x:v>TRANSUNION</x:v>
      </x:c>
      <x:c r="B267" s="3" t="str">
        <x:v>2026-01-01~2026-06-30</x:v>
      </x:c>
      <x:c r="C267" s="3" t="str">
        <x:v>2026-06-30</x:v>
      </x:c>
      <x:c r="D267" s="3" t="str">
        <x:v>EBITDA basis</x:v>
      </x:c>
      <x:c r="E267" s="3" t="str">
        <x:v>稅前損益＋利息＋折舊攤銷</x:v>
      </x:c>
      <x:c r="F267" s="3" t="str">
        <x:v>文字</x:v>
      </x:c>
      <x:c r="G267" s="3" t="str">
        <x:v>口徑說明</x:v>
      </x:c>
      <x:c r="H267" s="3" t="str">
        <x:v>Report1!R111, Report1!R106, Report1!R121</x:v>
      </x:c>
      <x:c r="I267" s="3" t="str">
        <x:v>稅前損益＋利息費用＋折舊攤銷</x:v>
      </x:c>
      <x:c r="J267" s="3" t="str">
        <x:v>計算底稿!M29</x:v>
      </x:c>
      <x:c r="K267" s="3" t="str">
        <x:v>本列為文字定義；不代表Adjusted或契約EBITDA。</x:v>
      </x:c>
      <x:c r="L267" s="3" t="str">
        <x:v>/Users/yuntzuyu/Downloads/e-loan/Quarter/e-Loan YQYQ-TransUnion Q2.xls</x:v>
      </x:c>
    </x:row>
    <x:row r="268" ht="25" customHeight="1">
      <x:c r="A268" s="3" t="str">
        <x:v>TRANSUNION</x:v>
      </x:c>
      <x:c r="B268" s="3" t="str">
        <x:v>2026-01-01~2026-06-30</x:v>
      </x:c>
      <x:c r="C268" s="3" t="str">
        <x:v>2026-06-30</x:v>
      </x:c>
      <x:c r="D268" s="3" t="str">
        <x:v>LTM EBITDA</x:v>
      </x:c>
      <x:c r="E268" s="6" t="n">
        <x:f>'計算底稿'!P29</x:f>
        <x:v>1750</x:v>
      </x:c>
      <x:c r="F268" s="3" t="str">
        <x:v>USD  million</x:v>
      </x:c>
      <x:c r="G268" s="3" t="str">
        <x:v>推算值</x:v>
      </x:c>
      <x:c r="H268" s="3" t="str">
        <x:v>Report1!R111, Report1!R106, Report1!R121；EBITDA另取M、I欄第111/106/121列</x:v>
      </x:c>
      <x:c r="I268" s="3" t="str">
        <x:v>全年：當年EBITDA；期中：前全年＋本YTD−前YTD</x:v>
      </x:c>
      <x:c r="J268" s="3" t="str">
        <x:v>計算底稿!P29</x:v>
      </x:c>
      <x:c r="K268" s="3" t="str">
        <x:v>期中缺前同期則資料不足；不採YTD×2或×4。</x:v>
      </x:c>
      <x:c r="L268" s="3" t="str">
        <x:v>/Users/yuntzuyu/Downloads/e-loan/Quarter/e-Loan YQYQ-TransUnion Q2.xls</x:v>
      </x:c>
    </x:row>
    <x:row r="269" ht="25" customHeight="1">
      <x:c r="A269" s="3" t="str">
        <x:v>TRANSUNION</x:v>
      </x:c>
      <x:c r="B269" s="3" t="str">
        <x:v>2026-01-01~2026-06-30</x:v>
      </x:c>
      <x:c r="C269" s="3" t="str">
        <x:v>2026-06-30</x:v>
      </x:c>
      <x:c r="D269" s="3" t="str">
        <x:v>Total leverage ratio</x:v>
      </x:c>
      <x:c r="E269" s="8" t="n">
        <x:f>'計算底稿'!Q29</x:f>
        <x:v>3.1914285714285713</x:v>
      </x:c>
      <x:c r="F269" s="3" t="str">
        <x:v>倍</x:v>
      </x:c>
      <x:c r="G269" s="3" t="str">
        <x:v>推算值／非契約倍數</x:v>
      </x:c>
      <x:c r="H269" s="3" t="str">
        <x:v>Report1!R41, Report1!R43, Report1!R55, Report1!R56, Report1!R111, Report1!R106, Report1!R121；EBITDA另取M、I欄第111/106/121列</x:v>
      </x:c>
      <x:c r="I269" s="3" t="str">
        <x:v>期末列示債務合計÷LTM EBITDA</x:v>
      </x:c>
      <x:c r="J269" s="3" t="str">
        <x:v>計算底稿!Q29</x:v>
      </x:c>
      <x:c r="K269" s="3" t="str">
        <x:v>未扣現金；不含未辨識租賃；EBITDA≤0時標示不具意義。</x:v>
      </x:c>
      <x:c r="L269" s="3" t="str">
        <x:v>/Users/yuntzuyu/Downloads/e-loan/Quarter/e-Loan YQYQ-TransUnion Q2.xls</x:v>
      </x:c>
    </x:row>
    <x:row r="270" ht="25" customHeight="1">
      <x:c r="A270" s="3" t="str">
        <x:v>NEXSTAR MEDIA GROUP, INC.</x:v>
      </x:c>
      <x:c r="B270" s="3" t="str">
        <x:v>2022-01-01~2022-12-31</x:v>
      </x:c>
      <x:c r="C270" s="3" t="str">
        <x:v>2022-12-31</x:v>
      </x:c>
      <x:c r="D270" s="3" t="str">
        <x:v>Cost of revenues</x:v>
      </x:c>
      <x:c r="E270" s="6" t="n">
        <x:f>'計算底稿'!F30</x:f>
        <x:v>2005000</x:v>
      </x:c>
      <x:c r="F270" s="3" t="str">
        <x:v>USD  thousand</x:v>
      </x:c>
      <x:c r="G270" s="3" t="str">
        <x:v>原始報表數字</x:v>
      </x:c>
      <x:c r="H270" s="3" t="str">
        <x:v>Report1!D86</x:v>
      </x:c>
      <x:c r="I270" s="3" t="str">
        <x:v>營收−毛利（驗算）</x:v>
      </x:c>
      <x:c r="J270" s="3" t="str">
        <x:v>計算底稿!F30</x:v>
      </x:c>
      <x:c r="K270" s="3" t="str">
        <x:v>對應Operating Cost/COGS；缺成本細項。</x:v>
      </x:c>
      <x:c r="L270" s="3" t="str">
        <x:v>/Users/yuntzuyu/Downloads/e-loan/Year/E-loan YYYY_Nexstar 2025.xls</x:v>
      </x:c>
    </x:row>
    <x:row r="271" ht="25" customHeight="1">
      <x:c r="A271" s="3" t="str">
        <x:v>NEXSTAR MEDIA GROUP, INC.</x:v>
      </x:c>
      <x:c r="B271" s="3" t="str">
        <x:v>2022-01-01~2022-12-31</x:v>
      </x:c>
      <x:c r="C271" s="3" t="str">
        <x:v>2022-12-31</x:v>
      </x:c>
      <x:c r="D271" s="3" t="str">
        <x:v>Gross profit</x:v>
      </x:c>
      <x:c r="E271" s="6" t="n">
        <x:f>'計算底稿'!G30</x:f>
        <x:v>3206000</x:v>
      </x:c>
      <x:c r="F271" s="3" t="str">
        <x:v>USD  thousand</x:v>
      </x:c>
      <x:c r="G271" s="3" t="str">
        <x:v>原始報表數字</x:v>
      </x:c>
      <x:c r="H271" s="3" t="str">
        <x:v>Report1!D94, Report1!D80, Report1!D86</x:v>
      </x:c>
      <x:c r="I271" s="3" t="str">
        <x:v>營收−營收成本</x:v>
      </x:c>
      <x:c r="J271" s="3" t="str">
        <x:v>計算底稿!G30</x:v>
      </x:c>
      <x:c r="K271" s="3" t="str">
        <x:v>原值與驗算一致。</x:v>
      </x:c>
      <x:c r="L271" s="3" t="str">
        <x:v>/Users/yuntzuyu/Downloads/e-loan/Year/E-loan YYYY_Nexstar 2025.xls</x:v>
      </x:c>
    </x:row>
    <x:row r="272" ht="25" customHeight="1">
      <x:c r="A272" s="3" t="str">
        <x:v>NEXSTAR MEDIA GROUP, INC.</x:v>
      </x:c>
      <x:c r="B272" s="3" t="str">
        <x:v>2022-01-01~2022-12-31</x:v>
      </x:c>
      <x:c r="C272" s="3" t="str">
        <x:v>2022-12-31</x:v>
      </x:c>
      <x:c r="D272" s="3" t="str">
        <x:v>Operating expense</x:v>
      </x:c>
      <x:c r="E272" s="6" t="n">
        <x:f>'計算底稿'!H30</x:f>
        <x:v>1893900</x:v>
      </x:c>
      <x:c r="F272" s="3" t="str">
        <x:v>USD  thousand</x:v>
      </x:c>
      <x:c r="G272" s="3" t="str">
        <x:v>原始報表數字</x:v>
      </x:c>
      <x:c r="H272" s="3" t="str">
        <x:v>Report1!D96, Report1!D94, Report1!D97</x:v>
      </x:c>
      <x:c r="I272" s="3" t="str">
        <x:v>毛利−營業利益（驗算）</x:v>
      </x:c>
      <x:c r="J272" s="3" t="str">
        <x:v>計算底稿!H30</x:v>
      </x:c>
      <x:c r="K272" s="3" t="str">
        <x:v>缺銷管、研發、減損等細分。</x:v>
      </x:c>
      <x:c r="L272" s="3" t="str">
        <x:v>/Users/yuntzuyu/Downloads/e-loan/Year/E-loan YYYY_Nexstar 2025.xls</x:v>
      </x:c>
    </x:row>
    <x:row r="273" ht="25" customHeight="1">
      <x:c r="A273" s="3" t="str">
        <x:v>NEXSTAR MEDIA GROUP, INC.</x:v>
      </x:c>
      <x:c r="B273" s="3" t="str">
        <x:v>2022-01-01~2022-12-31</x:v>
      </x:c>
      <x:c r="C273" s="3" t="str">
        <x:v>2022-12-31</x:v>
      </x:c>
      <x:c r="D273" s="3" t="str">
        <x:v>Interest expense</x:v>
      </x:c>
      <x:c r="E273" s="6" t="n">
        <x:f>'計算底稿'!I30</x:f>
        <x:v>336600</x:v>
      </x:c>
      <x:c r="F273" s="3" t="str">
        <x:v>USD  thousand</x:v>
      </x:c>
      <x:c r="G273" s="3" t="str">
        <x:v>原始報表數字</x:v>
      </x:c>
      <x:c r="H273" s="3" t="str">
        <x:v>Report1!D106</x:v>
      </x:c>
      <x:c r="I273" s="3" t="str">
        <x:v>直接取原報表第106列</x:v>
      </x:c>
      <x:c r="J273" s="3" t="str">
        <x:v>計算底稿!I30</x:v>
      </x:c>
      <x:c r="K273" s="3" t="str">
        <x:v>屬應計費用；不是現金付息，也不以期末債務×利率替代。</x:v>
      </x:c>
      <x:c r="L273" s="3" t="str">
        <x:v>/Users/yuntzuyu/Downloads/e-loan/Year/E-loan YYYY_Nexstar 2025.xls</x:v>
      </x:c>
    </x:row>
    <x:row r="274" ht="25" customHeight="1">
      <x:c r="A274" s="3" t="str">
        <x:v>NEXSTAR MEDIA GROUP, INC.</x:v>
      </x:c>
      <x:c r="B274" s="3" t="str">
        <x:v>2022-01-01~2022-12-31</x:v>
      </x:c>
      <x:c r="C274" s="3" t="str">
        <x:v>2022-12-31</x:v>
      </x:c>
      <x:c r="D274" s="3" t="str">
        <x:v>Quick ratio</x:v>
      </x:c>
      <x:c r="E274" s="7" t="n">
        <x:f>'計算底稿'!J30</x:f>
        <x:v>1.4369999999999998</x:v>
      </x:c>
      <x:c r="F274" s="3" t="str">
        <x:v>%</x:v>
      </x:c>
      <x:c r="G274" s="3" t="str">
        <x:v>原始報表數字</x:v>
      </x:c>
      <x:c r="H274" s="3" t="str">
        <x:v>Report1!D198, Report1!D11, Report1!D12, Report1!D13, Report1!D40</x:v>
      </x:c>
      <x:c r="I274" s="3" t="str">
        <x:v>(現金＋流動金融資產＋應收款項)÷流動負債</x:v>
      </x:c>
      <x:c r="J274" s="3" t="str">
        <x:v>計算底稿!J30</x:v>
      </x:c>
      <x:c r="K274" s="3" t="str">
        <x:v>原值為百分比；非直接以流動資產扣存貨。</x:v>
      </x:c>
      <x:c r="L274" s="3" t="str">
        <x:v>/Users/yuntzuyu/Downloads/e-loan/Year/E-loan YYYY_Nexstar 2025.xls</x:v>
      </x:c>
    </x:row>
    <x:row r="275" ht="25" customHeight="1">
      <x:c r="A275" s="3" t="str">
        <x:v>NEXSTAR MEDIA GROUP, INC.</x:v>
      </x:c>
      <x:c r="B275" s="3" t="str">
        <x:v>2022-01-01~2022-12-31</x:v>
      </x:c>
      <x:c r="C275" s="3" t="str">
        <x:v>2022-12-31</x:v>
      </x:c>
      <x:c r="D275" s="3" t="str">
        <x:v>Debt ratio</x:v>
      </x:c>
      <x:c r="E275" s="7" t="n">
        <x:f>'計算底稿'!K30</x:f>
        <x:v>3.5784</x:v>
      </x:c>
      <x:c r="F275" s="3" t="str">
        <x:v>%</x:v>
      </x:c>
      <x:c r="G275" s="3" t="str">
        <x:v>原始報表數字</x:v>
      </x:c>
      <x:c r="H275" s="3" t="str">
        <x:v>Report1!D203, Report1!D62, Report1!D70</x:v>
      </x:c>
      <x:c r="I275" s="3" t="str">
        <x:v>總負債÷淨值</x:v>
      </x:c>
      <x:c r="J275" s="3" t="str">
        <x:v>計算底稿!K30</x:v>
      </x:c>
      <x:c r="K275" s="3" t="str">
        <x:v>實際為負債淨值比；非負債資產比，亦非有息債務比。</x:v>
      </x:c>
      <x:c r="L275" s="3" t="str">
        <x:v>/Users/yuntzuyu/Downloads/e-loan/Year/E-loan YYYY_Nexstar 2025.xls</x:v>
      </x:c>
    </x:row>
    <x:row r="276" ht="25" customHeight="1">
      <x:c r="A276" s="3" t="str">
        <x:v>NEXSTAR MEDIA GROUP, INC.</x:v>
      </x:c>
      <x:c r="B276" s="3" t="str">
        <x:v>2022-01-01~2022-12-31</x:v>
      </x:c>
      <x:c r="C276" s="3" t="str">
        <x:v>2022-12-31</x:v>
      </x:c>
      <x:c r="D276" s="3" t="str">
        <x:v>Total debt</x:v>
      </x:c>
      <x:c r="E276" s="6" t="n">
        <x:f>'計算底稿'!L30</x:f>
        <x:v>6951500</x:v>
      </x:c>
      <x:c r="F276" s="3" t="str">
        <x:v>USD  thousand</x:v>
      </x:c>
      <x:c r="G276" s="3" t="str">
        <x:v>推算值／列示項目小計</x:v>
      </x:c>
      <x:c r="H276" s="3" t="str">
        <x:v>Report1!D41, Report1!D43, Report1!D55, Report1!D56</x:v>
      </x:c>
      <x:c r="I276" s="3" t="str">
        <x:v>短期借款＋一年內到期長債＋長期銀行借款＋公司債</x:v>
      </x:c>
      <x:c r="J276" s="3" t="str">
        <x:v>計算底稿!L30</x:v>
      </x:c>
      <x:c r="K276" s="3" t="str">
        <x:v>空白項未計入；租賃等未另加，非契約確認總債務。</x:v>
      </x:c>
      <x:c r="L276" s="3" t="str">
        <x:v>/Users/yuntzuyu/Downloads/e-loan/Year/E-loan YYYY_Nexstar 2025.xls</x:v>
      </x:c>
    </x:row>
    <x:row r="277" ht="25" customHeight="1">
      <x:c r="A277" s="3" t="str">
        <x:v>NEXSTAR MEDIA GROUP, INC.</x:v>
      </x:c>
      <x:c r="B277" s="3" t="str">
        <x:v>2022-01-01~2022-12-31</x:v>
      </x:c>
      <x:c r="C277" s="3" t="str">
        <x:v>2022-12-31</x:v>
      </x:c>
      <x:c r="D277" s="3" t="str">
        <x:v>EBITDA（報表口徑）</x:v>
      </x:c>
      <x:c r="E277" s="6" t="n">
        <x:f>'計算底稿'!M30</x:f>
        <x:v>2215800</x:v>
      </x:c>
      <x:c r="F277" s="3" t="str">
        <x:v>USD  thousand</x:v>
      </x:c>
      <x:c r="G277" s="3" t="str">
        <x:v>推算值</x:v>
      </x:c>
      <x:c r="H277" s="3" t="str">
        <x:v>Report1!D111, Report1!D106, Report1!D121, Report1!D201</x:v>
      </x:c>
      <x:c r="I277" s="3" t="str">
        <x:v>稅前損益＋利息費用＋折舊攤銷</x:v>
      </x:c>
      <x:c r="J277" s="3" t="str">
        <x:v>計算底稿!M30</x:v>
      </x:c>
      <x:c r="K277" s="3" t="str">
        <x:v>可重現原表EBITDA/Interest；含業外損益。</x:v>
      </x:c>
      <x:c r="L277" s="3" t="str">
        <x:v>/Users/yuntzuyu/Downloads/e-loan/Year/E-loan YYYY_Nexstar 2025.xls</x:v>
      </x:c>
    </x:row>
    <x:row r="278" ht="25" customHeight="1">
      <x:c r="A278" s="3" t="str">
        <x:v>NEXSTAR MEDIA GROUP, INC.</x:v>
      </x:c>
      <x:c r="B278" s="3" t="str">
        <x:v>2022-01-01~2022-12-31</x:v>
      </x:c>
      <x:c r="C278" s="3" t="str">
        <x:v>2022-12-31</x:v>
      </x:c>
      <x:c r="D278" s="3" t="str">
        <x:v>EBITDA basis</x:v>
      </x:c>
      <x:c r="E278" s="3" t="str">
        <x:v>稅前損益＋利息＋折舊攤銷</x:v>
      </x:c>
      <x:c r="F278" s="3" t="str">
        <x:v>文字</x:v>
      </x:c>
      <x:c r="G278" s="3" t="str">
        <x:v>口徑說明</x:v>
      </x:c>
      <x:c r="H278" s="3" t="str">
        <x:v>Report1!D111, Report1!D106, Report1!D121</x:v>
      </x:c>
      <x:c r="I278" s="3" t="str">
        <x:v>稅前損益＋利息費用＋折舊攤銷</x:v>
      </x:c>
      <x:c r="J278" s="3" t="str">
        <x:v>計算底稿!M30</x:v>
      </x:c>
      <x:c r="K278" s="3" t="str">
        <x:v>本列為文字定義；不代表Adjusted或契約EBITDA。</x:v>
      </x:c>
      <x:c r="L278" s="3" t="str">
        <x:v>/Users/yuntzuyu/Downloads/e-loan/Year/E-loan YYYY_Nexstar 2025.xls</x:v>
      </x:c>
    </x:row>
    <x:row r="279" ht="25" customHeight="1">
      <x:c r="A279" s="3" t="str">
        <x:v>NEXSTAR MEDIA GROUP, INC.</x:v>
      </x:c>
      <x:c r="B279" s="3" t="str">
        <x:v>2022-01-01~2022-12-31</x:v>
      </x:c>
      <x:c r="C279" s="3" t="str">
        <x:v>2022-12-31</x:v>
      </x:c>
      <x:c r="D279" s="3" t="str">
        <x:v>LTM EBITDA</x:v>
      </x:c>
      <x:c r="E279" s="6" t="n">
        <x:f>'計算底稿'!P30</x:f>
        <x:v>2215800</x:v>
      </x:c>
      <x:c r="F279" s="3" t="str">
        <x:v>USD  thousand</x:v>
      </x:c>
      <x:c r="G279" s="3" t="str">
        <x:v>推算值</x:v>
      </x:c>
      <x:c r="H279" s="3" t="str">
        <x:v>Report1!D111, Report1!D106, Report1!D121</x:v>
      </x:c>
      <x:c r="I279" s="3" t="str">
        <x:v>全年：當年EBITDA；期中：前全年＋本YTD−前YTD</x:v>
      </x:c>
      <x:c r="J279" s="3" t="str">
        <x:v>計算底稿!P30</x:v>
      </x:c>
      <x:c r="K279" s="3" t="str">
        <x:v>期中缺前同期則資料不足；不採YTD×2或×4。</x:v>
      </x:c>
      <x:c r="L279" s="3" t="str">
        <x:v>/Users/yuntzuyu/Downloads/e-loan/Year/E-loan YYYY_Nexstar 2025.xls</x:v>
      </x:c>
    </x:row>
    <x:row r="280" ht="25" customHeight="1">
      <x:c r="A280" s="3" t="str">
        <x:v>NEXSTAR MEDIA GROUP, INC.</x:v>
      </x:c>
      <x:c r="B280" s="3" t="str">
        <x:v>2022-01-01~2022-12-31</x:v>
      </x:c>
      <x:c r="C280" s="3" t="str">
        <x:v>2022-12-31</x:v>
      </x:c>
      <x:c r="D280" s="3" t="str">
        <x:v>Total leverage ratio</x:v>
      </x:c>
      <x:c r="E280" s="8" t="n">
        <x:f>'計算底稿'!Q30</x:f>
        <x:v>3.1372416283058038</x:v>
      </x:c>
      <x:c r="F280" s="3" t="str">
        <x:v>倍</x:v>
      </x:c>
      <x:c r="G280" s="3" t="str">
        <x:v>推算值／非契約倍數</x:v>
      </x:c>
      <x:c r="H280" s="3" t="str">
        <x:v>Report1!D41, Report1!D43, Report1!D55, Report1!D56, Report1!D111, Report1!D106, Report1!D121</x:v>
      </x:c>
      <x:c r="I280" s="3" t="str">
        <x:v>期末列示債務合計÷LTM EBITDA</x:v>
      </x:c>
      <x:c r="J280" s="3" t="str">
        <x:v>計算底稿!Q30</x:v>
      </x:c>
      <x:c r="K280" s="3" t="str">
        <x:v>未扣現金；不含未辨識租賃；EBITDA≤0時標示不具意義。</x:v>
      </x:c>
      <x:c r="L280" s="3" t="str">
        <x:v>/Users/yuntzuyu/Downloads/e-loan/Year/E-loan YYYY_Nexstar 2025.xls</x:v>
      </x:c>
    </x:row>
    <x:row r="281" ht="25" customHeight="1">
      <x:c r="A281" s="3" t="str">
        <x:v>NEXSTAR MEDIA GROUP, INC.</x:v>
      </x:c>
      <x:c r="B281" s="3" t="str">
        <x:v>2023-01-01~2023-12-31</x:v>
      </x:c>
      <x:c r="C281" s="3" t="str">
        <x:v>2023-12-31</x:v>
      </x:c>
      <x:c r="D281" s="3" t="str">
        <x:v>Cost of revenues</x:v>
      </x:c>
      <x:c r="E281" s="6" t="n">
        <x:f>'計算底稿'!F31</x:f>
        <x:v>2153000</x:v>
      </x:c>
      <x:c r="F281" s="3" t="str">
        <x:v>USD  thousand</x:v>
      </x:c>
      <x:c r="G281" s="3" t="str">
        <x:v>原始報表數字</x:v>
      </x:c>
      <x:c r="H281" s="3" t="str">
        <x:v>Report1!I86</x:v>
      </x:c>
      <x:c r="I281" s="3" t="str">
        <x:v>營收−毛利（驗算）</x:v>
      </x:c>
      <x:c r="J281" s="3" t="str">
        <x:v>計算底稿!F31</x:v>
      </x:c>
      <x:c r="K281" s="3" t="str">
        <x:v>對應Operating Cost/COGS；缺成本細項。</x:v>
      </x:c>
      <x:c r="L281" s="3" t="str">
        <x:v>/Users/yuntzuyu/Downloads/e-loan/Year/E-loan YYYY_Nexstar 2025.xls</x:v>
      </x:c>
    </x:row>
    <x:row r="282" ht="25" customHeight="1">
      <x:c r="A282" s="3" t="str">
        <x:v>NEXSTAR MEDIA GROUP, INC.</x:v>
      </x:c>
      <x:c r="B282" s="3" t="str">
        <x:v>2023-01-01~2023-12-31</x:v>
      </x:c>
      <x:c r="C282" s="3" t="str">
        <x:v>2023-12-31</x:v>
      </x:c>
      <x:c r="D282" s="3" t="str">
        <x:v>Gross profit</x:v>
      </x:c>
      <x:c r="E282" s="6" t="n">
        <x:f>'計算底稿'!G31</x:f>
        <x:v>2780000</x:v>
      </x:c>
      <x:c r="F282" s="3" t="str">
        <x:v>USD  thousand</x:v>
      </x:c>
      <x:c r="G282" s="3" t="str">
        <x:v>原始報表數字</x:v>
      </x:c>
      <x:c r="H282" s="3" t="str">
        <x:v>Report1!I94, Report1!I80, Report1!I86</x:v>
      </x:c>
      <x:c r="I282" s="3" t="str">
        <x:v>營收−營收成本</x:v>
      </x:c>
      <x:c r="J282" s="3" t="str">
        <x:v>計算底稿!G31</x:v>
      </x:c>
      <x:c r="K282" s="3" t="str">
        <x:v>原值與驗算一致。</x:v>
      </x:c>
      <x:c r="L282" s="3" t="str">
        <x:v>/Users/yuntzuyu/Downloads/e-loan/Year/E-loan YYYY_Nexstar 2025.xls</x:v>
      </x:c>
    </x:row>
    <x:row r="283" ht="25" customHeight="1">
      <x:c r="A283" s="3" t="str">
        <x:v>NEXSTAR MEDIA GROUP, INC.</x:v>
      </x:c>
      <x:c r="B283" s="3" t="str">
        <x:v>2023-01-01~2023-12-31</x:v>
      </x:c>
      <x:c r="C283" s="3" t="str">
        <x:v>2023-12-31</x:v>
      </x:c>
      <x:c r="D283" s="3" t="str">
        <x:v>Operating expense</x:v>
      </x:c>
      <x:c r="E283" s="6" t="n">
        <x:f>'計算底稿'!H31</x:f>
        <x:v>2072000</x:v>
      </x:c>
      <x:c r="F283" s="3" t="str">
        <x:v>USD  thousand</x:v>
      </x:c>
      <x:c r="G283" s="3" t="str">
        <x:v>原始報表數字</x:v>
      </x:c>
      <x:c r="H283" s="3" t="str">
        <x:v>Report1!I96, Report1!I94, Report1!I97</x:v>
      </x:c>
      <x:c r="I283" s="3" t="str">
        <x:v>毛利−營業利益（驗算）</x:v>
      </x:c>
      <x:c r="J283" s="3" t="str">
        <x:v>計算底稿!H31</x:v>
      </x:c>
      <x:c r="K283" s="3" t="str">
        <x:v>缺銷管、研發、減損等細分。</x:v>
      </x:c>
      <x:c r="L283" s="3" t="str">
        <x:v>/Users/yuntzuyu/Downloads/e-loan/Year/E-loan YYYY_Nexstar 2025.xls</x:v>
      </x:c>
    </x:row>
    <x:row r="284" ht="25" customHeight="1">
      <x:c r="A284" s="3" t="str">
        <x:v>NEXSTAR MEDIA GROUP, INC.</x:v>
      </x:c>
      <x:c r="B284" s="3" t="str">
        <x:v>2023-01-01~2023-12-31</x:v>
      </x:c>
      <x:c r="C284" s="3" t="str">
        <x:v>2023-12-31</x:v>
      </x:c>
      <x:c r="D284" s="3" t="str">
        <x:v>Interest expense</x:v>
      </x:c>
      <x:c r="E284" s="6" t="n">
        <x:f>'計算底稿'!I31</x:f>
        <x:v>447000</x:v>
      </x:c>
      <x:c r="F284" s="3" t="str">
        <x:v>USD  thousand</x:v>
      </x:c>
      <x:c r="G284" s="3" t="str">
        <x:v>原始報表數字</x:v>
      </x:c>
      <x:c r="H284" s="3" t="str">
        <x:v>Report1!I106</x:v>
      </x:c>
      <x:c r="I284" s="3" t="str">
        <x:v>直接取原報表第106列</x:v>
      </x:c>
      <x:c r="J284" s="3" t="str">
        <x:v>計算底稿!I31</x:v>
      </x:c>
      <x:c r="K284" s="3" t="str">
        <x:v>屬應計費用；不是現金付息，也不以期末債務×利率替代。</x:v>
      </x:c>
      <x:c r="L284" s="3" t="str">
        <x:v>/Users/yuntzuyu/Downloads/e-loan/Year/E-loan YYYY_Nexstar 2025.xls</x:v>
      </x:c>
    </x:row>
    <x:row r="285" ht="25" customHeight="1">
      <x:c r="A285" s="3" t="str">
        <x:v>NEXSTAR MEDIA GROUP, INC.</x:v>
      </x:c>
      <x:c r="B285" s="3" t="str">
        <x:v>2023-01-01~2023-12-31</x:v>
      </x:c>
      <x:c r="C285" s="3" t="str">
        <x:v>2023-12-31</x:v>
      </x:c>
      <x:c r="D285" s="3" t="str">
        <x:v>Quick ratio</x:v>
      </x:c>
      <x:c r="E285" s="7" t="n">
        <x:f>'計算底稿'!J31</x:f>
        <x:v>1.2799</x:v>
      </x:c>
      <x:c r="F285" s="3" t="str">
        <x:v>%</x:v>
      </x:c>
      <x:c r="G285" s="3" t="str">
        <x:v>原始報表數字</x:v>
      </x:c>
      <x:c r="H285" s="3" t="str">
        <x:v>Report1!I198, Report1!I11, Report1!I12, Report1!I13, Report1!I40</x:v>
      </x:c>
      <x:c r="I285" s="3" t="str">
        <x:v>(現金＋流動金融資產＋應收款項)÷流動負債</x:v>
      </x:c>
      <x:c r="J285" s="3" t="str">
        <x:v>計算底稿!J31</x:v>
      </x:c>
      <x:c r="K285" s="3" t="str">
        <x:v>原值為百分比；非直接以流動資產扣存貨。</x:v>
      </x:c>
      <x:c r="L285" s="3" t="str">
        <x:v>/Users/yuntzuyu/Downloads/e-loan/Year/E-loan YYYY_Nexstar 2025.xls</x:v>
      </x:c>
    </x:row>
    <x:row r="286" ht="25" customHeight="1">
      <x:c r="A286" s="3" t="str">
        <x:v>NEXSTAR MEDIA GROUP, INC.</x:v>
      </x:c>
      <x:c r="B286" s="3" t="str">
        <x:v>2023-01-01~2023-12-31</x:v>
      </x:c>
      <x:c r="C286" s="3" t="str">
        <x:v>2023-12-31</x:v>
      </x:c>
      <x:c r="D286" s="3" t="str">
        <x:v>Debt ratio</x:v>
      </x:c>
      <x:c r="E286" s="7" t="n">
        <x:f>'計算底稿'!K31</x:f>
        <x:v>4.2218</x:v>
      </x:c>
      <x:c r="F286" s="3" t="str">
        <x:v>%</x:v>
      </x:c>
      <x:c r="G286" s="3" t="str">
        <x:v>原始報表數字</x:v>
      </x:c>
      <x:c r="H286" s="3" t="str">
        <x:v>Report1!I203, Report1!I62, Report1!I70</x:v>
      </x:c>
      <x:c r="I286" s="3" t="str">
        <x:v>總負債÷淨值</x:v>
      </x:c>
      <x:c r="J286" s="3" t="str">
        <x:v>計算底稿!K31</x:v>
      </x:c>
      <x:c r="K286" s="3" t="str">
        <x:v>實際為負債淨值比；非負債資產比，亦非有息債務比。</x:v>
      </x:c>
      <x:c r="L286" s="3" t="str">
        <x:v>/Users/yuntzuyu/Downloads/e-loan/Year/E-loan YYYY_Nexstar 2025.xls</x:v>
      </x:c>
    </x:row>
    <x:row r="287" ht="25" customHeight="1">
      <x:c r="A287" s="3" t="str">
        <x:v>NEXSTAR MEDIA GROUP, INC.</x:v>
      </x:c>
      <x:c r="B287" s="3" t="str">
        <x:v>2023-01-01~2023-12-31</x:v>
      </x:c>
      <x:c r="C287" s="3" t="str">
        <x:v>2023-12-31</x:v>
      </x:c>
      <x:c r="D287" s="3" t="str">
        <x:v>Total debt</x:v>
      </x:c>
      <x:c r="E287" s="6" t="n">
        <x:f>'計算底稿'!L31</x:f>
        <x:v>6837000</x:v>
      </x:c>
      <x:c r="F287" s="3" t="str">
        <x:v>USD  thousand</x:v>
      </x:c>
      <x:c r="G287" s="3" t="str">
        <x:v>推算值／列示項目小計</x:v>
      </x:c>
      <x:c r="H287" s="3" t="str">
        <x:v>Report1!I41, Report1!I43, Report1!I55, Report1!I56</x:v>
      </x:c>
      <x:c r="I287" s="3" t="str">
        <x:v>短期借款＋一年內到期長債＋長期銀行借款＋公司債</x:v>
      </x:c>
      <x:c r="J287" s="3" t="str">
        <x:v>計算底稿!L31</x:v>
      </x:c>
      <x:c r="K287" s="3" t="str">
        <x:v>空白項未計入；租賃等未另加，非契約確認總債務。</x:v>
      </x:c>
      <x:c r="L287" s="3" t="str">
        <x:v>/Users/yuntzuyu/Downloads/e-loan/Year/E-loan YYYY_Nexstar 2025.xls</x:v>
      </x:c>
    </x:row>
    <x:row r="288" ht="25" customHeight="1">
      <x:c r="A288" s="3" t="str">
        <x:v>NEXSTAR MEDIA GROUP, INC.</x:v>
      </x:c>
      <x:c r="B288" s="3" t="str">
        <x:v>2023-01-01~2023-12-31</x:v>
      </x:c>
      <x:c r="C288" s="3" t="str">
        <x:v>2023-12-31</x:v>
      </x:c>
      <x:c r="D288" s="3" t="str">
        <x:v>EBITDA（報表口徑）</x:v>
      </x:c>
      <x:c r="E288" s="6" t="n">
        <x:f>'計算底稿'!M31</x:f>
        <x:v>1789000</x:v>
      </x:c>
      <x:c r="F288" s="3" t="str">
        <x:v>USD  thousand</x:v>
      </x:c>
      <x:c r="G288" s="3" t="str">
        <x:v>推算值</x:v>
      </x:c>
      <x:c r="H288" s="3" t="str">
        <x:v>Report1!I111, Report1!I106, Report1!I121, Report1!I201</x:v>
      </x:c>
      <x:c r="I288" s="3" t="str">
        <x:v>稅前損益＋利息費用＋折舊攤銷</x:v>
      </x:c>
      <x:c r="J288" s="3" t="str">
        <x:v>計算底稿!M31</x:v>
      </x:c>
      <x:c r="K288" s="3" t="str">
        <x:v>可重現原表EBITDA/Interest；含業外損益。</x:v>
      </x:c>
      <x:c r="L288" s="3" t="str">
        <x:v>/Users/yuntzuyu/Downloads/e-loan/Year/E-loan YYYY_Nexstar 2025.xls</x:v>
      </x:c>
    </x:row>
    <x:row r="289" ht="25" customHeight="1">
      <x:c r="A289" s="3" t="str">
        <x:v>NEXSTAR MEDIA GROUP, INC.</x:v>
      </x:c>
      <x:c r="B289" s="3" t="str">
        <x:v>2023-01-01~2023-12-31</x:v>
      </x:c>
      <x:c r="C289" s="3" t="str">
        <x:v>2023-12-31</x:v>
      </x:c>
      <x:c r="D289" s="3" t="str">
        <x:v>EBITDA basis</x:v>
      </x:c>
      <x:c r="E289" s="3" t="str">
        <x:v>稅前損益＋利息＋折舊攤銷</x:v>
      </x:c>
      <x:c r="F289" s="3" t="str">
        <x:v>文字</x:v>
      </x:c>
      <x:c r="G289" s="3" t="str">
        <x:v>口徑說明</x:v>
      </x:c>
      <x:c r="H289" s="3" t="str">
        <x:v>Report1!I111, Report1!I106, Report1!I121</x:v>
      </x:c>
      <x:c r="I289" s="3" t="str">
        <x:v>稅前損益＋利息費用＋折舊攤銷</x:v>
      </x:c>
      <x:c r="J289" s="3" t="str">
        <x:v>計算底稿!M31</x:v>
      </x:c>
      <x:c r="K289" s="3" t="str">
        <x:v>本列為文字定義；不代表Adjusted或契約EBITDA。</x:v>
      </x:c>
      <x:c r="L289" s="3" t="str">
        <x:v>/Users/yuntzuyu/Downloads/e-loan/Year/E-loan YYYY_Nexstar 2025.xls</x:v>
      </x:c>
    </x:row>
    <x:row r="290" ht="25" customHeight="1">
      <x:c r="A290" s="3" t="str">
        <x:v>NEXSTAR MEDIA GROUP, INC.</x:v>
      </x:c>
      <x:c r="B290" s="3" t="str">
        <x:v>2023-01-01~2023-12-31</x:v>
      </x:c>
      <x:c r="C290" s="3" t="str">
        <x:v>2023-12-31</x:v>
      </x:c>
      <x:c r="D290" s="3" t="str">
        <x:v>LTM EBITDA</x:v>
      </x:c>
      <x:c r="E290" s="6" t="n">
        <x:f>'計算底稿'!P31</x:f>
        <x:v>1789000</x:v>
      </x:c>
      <x:c r="F290" s="3" t="str">
        <x:v>USD  thousand</x:v>
      </x:c>
      <x:c r="G290" s="3" t="str">
        <x:v>推算值</x:v>
      </x:c>
      <x:c r="H290" s="3" t="str">
        <x:v>Report1!I111, Report1!I106, Report1!I121</x:v>
      </x:c>
      <x:c r="I290" s="3" t="str">
        <x:v>全年：當年EBITDA；期中：前全年＋本YTD−前YTD</x:v>
      </x:c>
      <x:c r="J290" s="3" t="str">
        <x:v>計算底稿!P31</x:v>
      </x:c>
      <x:c r="K290" s="3" t="str">
        <x:v>期中缺前同期則資料不足；不採YTD×2或×4。</x:v>
      </x:c>
      <x:c r="L290" s="3" t="str">
        <x:v>/Users/yuntzuyu/Downloads/e-loan/Year/E-loan YYYY_Nexstar 2025.xls</x:v>
      </x:c>
    </x:row>
    <x:row r="291" ht="25" customHeight="1">
      <x:c r="A291" s="3" t="str">
        <x:v>NEXSTAR MEDIA GROUP, INC.</x:v>
      </x:c>
      <x:c r="B291" s="3" t="str">
        <x:v>2023-01-01~2023-12-31</x:v>
      </x:c>
      <x:c r="C291" s="3" t="str">
        <x:v>2023-12-31</x:v>
      </x:c>
      <x:c r="D291" s="3" t="str">
        <x:v>Total leverage ratio</x:v>
      </x:c>
      <x:c r="E291" s="8" t="n">
        <x:f>'計算底稿'!Q31</x:f>
        <x:v>3.821688093907211</x:v>
      </x:c>
      <x:c r="F291" s="3" t="str">
        <x:v>倍</x:v>
      </x:c>
      <x:c r="G291" s="3" t="str">
        <x:v>推算值／非契約倍數</x:v>
      </x:c>
      <x:c r="H291" s="3" t="str">
        <x:v>Report1!I41, Report1!I43, Report1!I55, Report1!I56, Report1!I111, Report1!I106, Report1!I121</x:v>
      </x:c>
      <x:c r="I291" s="3" t="str">
        <x:v>期末列示債務合計÷LTM EBITDA</x:v>
      </x:c>
      <x:c r="J291" s="3" t="str">
        <x:v>計算底稿!Q31</x:v>
      </x:c>
      <x:c r="K291" s="3" t="str">
        <x:v>未扣現金；不含未辨識租賃；EBITDA≤0時標示不具意義。</x:v>
      </x:c>
      <x:c r="L291" s="3" t="str">
        <x:v>/Users/yuntzuyu/Downloads/e-loan/Year/E-loan YYYY_Nexstar 2025.xls</x:v>
      </x:c>
    </x:row>
    <x:row r="292" ht="25" customHeight="1">
      <x:c r="A292" s="3" t="str">
        <x:v>NEXSTAR MEDIA GROUP, INC.</x:v>
      </x:c>
      <x:c r="B292" s="3" t="str">
        <x:v>2024-01-01~2024-12-31</x:v>
      </x:c>
      <x:c r="C292" s="3" t="str">
        <x:v>2024-12-31</x:v>
      </x:c>
      <x:c r="D292" s="3" t="str">
        <x:v>Cost of revenues</x:v>
      </x:c>
      <x:c r="E292" s="6" t="n">
        <x:f>'計算底稿'!F32</x:f>
        <x:v>2221000</x:v>
      </x:c>
      <x:c r="F292" s="3" t="str">
        <x:v>USD  thousand</x:v>
      </x:c>
      <x:c r="G292" s="3" t="str">
        <x:v>原始報表數字</x:v>
      </x:c>
      <x:c r="H292" s="3" t="str">
        <x:v>Report1!M86</x:v>
      </x:c>
      <x:c r="I292" s="3" t="str">
        <x:v>營收−毛利（驗算）</x:v>
      </x:c>
      <x:c r="J292" s="3" t="str">
        <x:v>計算底稿!F32</x:v>
      </x:c>
      <x:c r="K292" s="3" t="str">
        <x:v>對應Operating Cost/COGS；缺成本細項。</x:v>
      </x:c>
      <x:c r="L292" s="3" t="str">
        <x:v>/Users/yuntzuyu/Downloads/e-loan/Year/E-loan YYYY_Nexstar 2025.xls</x:v>
      </x:c>
    </x:row>
    <x:row r="293" ht="25" customHeight="1">
      <x:c r="A293" s="3" t="str">
        <x:v>NEXSTAR MEDIA GROUP, INC.</x:v>
      </x:c>
      <x:c r="B293" s="3" t="str">
        <x:v>2024-01-01~2024-12-31</x:v>
      </x:c>
      <x:c r="C293" s="3" t="str">
        <x:v>2024-12-31</x:v>
      </x:c>
      <x:c r="D293" s="3" t="str">
        <x:v>Gross profit</x:v>
      </x:c>
      <x:c r="E293" s="6" t="n">
        <x:f>'計算底稿'!G32</x:f>
        <x:v>3186000</x:v>
      </x:c>
      <x:c r="F293" s="3" t="str">
        <x:v>USD  thousand</x:v>
      </x:c>
      <x:c r="G293" s="3" t="str">
        <x:v>原始報表數字</x:v>
      </x:c>
      <x:c r="H293" s="3" t="str">
        <x:v>Report1!M94, Report1!M80, Report1!M86</x:v>
      </x:c>
      <x:c r="I293" s="3" t="str">
        <x:v>營收−營收成本</x:v>
      </x:c>
      <x:c r="J293" s="3" t="str">
        <x:v>計算底稿!G32</x:v>
      </x:c>
      <x:c r="K293" s="3" t="str">
        <x:v>原值與驗算一致。</x:v>
      </x:c>
      <x:c r="L293" s="3" t="str">
        <x:v>/Users/yuntzuyu/Downloads/e-loan/Year/E-loan YYYY_Nexstar 2025.xls</x:v>
      </x:c>
    </x:row>
    <x:row r="294" ht="25" customHeight="1">
      <x:c r="A294" s="3" t="str">
        <x:v>NEXSTAR MEDIA GROUP, INC.</x:v>
      </x:c>
      <x:c r="B294" s="3" t="str">
        <x:v>2024-01-01~2024-12-31</x:v>
      </x:c>
      <x:c r="C294" s="3" t="str">
        <x:v>2024-12-31</x:v>
      </x:c>
      <x:c r="D294" s="3" t="str">
        <x:v>Operating expense</x:v>
      </x:c>
      <x:c r="E294" s="6" t="n">
        <x:f>'計算底稿'!H32</x:f>
        <x:v>1918000</x:v>
      </x:c>
      <x:c r="F294" s="3" t="str">
        <x:v>USD  thousand</x:v>
      </x:c>
      <x:c r="G294" s="3" t="str">
        <x:v>原始報表數字</x:v>
      </x:c>
      <x:c r="H294" s="3" t="str">
        <x:v>Report1!M96, Report1!M94, Report1!M97</x:v>
      </x:c>
      <x:c r="I294" s="3" t="str">
        <x:v>毛利−營業利益（驗算）</x:v>
      </x:c>
      <x:c r="J294" s="3" t="str">
        <x:v>計算底稿!H32</x:v>
      </x:c>
      <x:c r="K294" s="3" t="str">
        <x:v>缺銷管、研發、減損等細分。</x:v>
      </x:c>
      <x:c r="L294" s="3" t="str">
        <x:v>/Users/yuntzuyu/Downloads/e-loan/Year/E-loan YYYY_Nexstar 2025.xls</x:v>
      </x:c>
    </x:row>
    <x:row r="295" ht="25" customHeight="1">
      <x:c r="A295" s="3" t="str">
        <x:v>NEXSTAR MEDIA GROUP, INC.</x:v>
      </x:c>
      <x:c r="B295" s="3" t="str">
        <x:v>2024-01-01~2024-12-31</x:v>
      </x:c>
      <x:c r="C295" s="3" t="str">
        <x:v>2024-12-31</x:v>
      </x:c>
      <x:c r="D295" s="3" t="str">
        <x:v>Interest expense</x:v>
      </x:c>
      <x:c r="E295" s="6" t="n">
        <x:f>'計算底稿'!I32</x:f>
        <x:v>444000</x:v>
      </x:c>
      <x:c r="F295" s="3" t="str">
        <x:v>USD  thousand</x:v>
      </x:c>
      <x:c r="G295" s="3" t="str">
        <x:v>原始報表數字</x:v>
      </x:c>
      <x:c r="H295" s="3" t="str">
        <x:v>Report1!M106</x:v>
      </x:c>
      <x:c r="I295" s="3" t="str">
        <x:v>直接取原報表第106列</x:v>
      </x:c>
      <x:c r="J295" s="3" t="str">
        <x:v>計算底稿!I32</x:v>
      </x:c>
      <x:c r="K295" s="3" t="str">
        <x:v>屬應計費用；不是現金付息，也不以期末債務×利率替代。</x:v>
      </x:c>
      <x:c r="L295" s="3" t="str">
        <x:v>/Users/yuntzuyu/Downloads/e-loan/Year/E-loan YYYY_Nexstar 2025.xls</x:v>
      </x:c>
    </x:row>
    <x:row r="296" ht="25" customHeight="1">
      <x:c r="A296" s="3" t="str">
        <x:v>NEXSTAR MEDIA GROUP, INC.</x:v>
      </x:c>
      <x:c r="B296" s="3" t="str">
        <x:v>2024-01-01~2024-12-31</x:v>
      </x:c>
      <x:c r="C296" s="3" t="str">
        <x:v>2024-12-31</x:v>
      </x:c>
      <x:c r="D296" s="3" t="str">
        <x:v>Quick ratio</x:v>
      </x:c>
      <x:c r="E296" s="7" t="n">
        <x:f>'計算底稿'!J32</x:f>
        <x:v>1.4968000000000001</x:v>
      </x:c>
      <x:c r="F296" s="3" t="str">
        <x:v>%</x:v>
      </x:c>
      <x:c r="G296" s="3" t="str">
        <x:v>原始報表數字</x:v>
      </x:c>
      <x:c r="H296" s="3" t="str">
        <x:v>Report1!M198, Report1!M11, Report1!M12, Report1!M13, Report1!M40</x:v>
      </x:c>
      <x:c r="I296" s="3" t="str">
        <x:v>(現金＋流動金融資產＋應收款項)÷流動負債</x:v>
      </x:c>
      <x:c r="J296" s="3" t="str">
        <x:v>計算底稿!J32</x:v>
      </x:c>
      <x:c r="K296" s="3" t="str">
        <x:v>原值為百分比；非直接以流動資產扣存貨。</x:v>
      </x:c>
      <x:c r="L296" s="3" t="str">
        <x:v>/Users/yuntzuyu/Downloads/e-loan/Year/E-loan YYYY_Nexstar 2025.xls</x:v>
      </x:c>
    </x:row>
    <x:row r="297" ht="25" customHeight="1">
      <x:c r="A297" s="3" t="str">
        <x:v>NEXSTAR MEDIA GROUP, INC.</x:v>
      </x:c>
      <x:c r="B297" s="3" t="str">
        <x:v>2024-01-01~2024-12-31</x:v>
      </x:c>
      <x:c r="C297" s="3" t="str">
        <x:v>2024-12-31</x:v>
      </x:c>
      <x:c r="D297" s="3" t="str">
        <x:v>Debt ratio</x:v>
      </x:c>
      <x:c r="E297" s="7" t="n">
        <x:f>'計算底稿'!K32</x:f>
        <x:v>4.0564</x:v>
      </x:c>
      <x:c r="F297" s="3" t="str">
        <x:v>%</x:v>
      </x:c>
      <x:c r="G297" s="3" t="str">
        <x:v>原始報表數字</x:v>
      </x:c>
      <x:c r="H297" s="3" t="str">
        <x:v>Report1!M203, Report1!M62, Report1!M70</x:v>
      </x:c>
      <x:c r="I297" s="3" t="str">
        <x:v>總負債÷淨值</x:v>
      </x:c>
      <x:c r="J297" s="3" t="str">
        <x:v>計算底稿!K32</x:v>
      </x:c>
      <x:c r="K297" s="3" t="str">
        <x:v>實際為負債淨值比；非負債資產比，亦非有息債務比。</x:v>
      </x:c>
      <x:c r="L297" s="3" t="str">
        <x:v>/Users/yuntzuyu/Downloads/e-loan/Year/E-loan YYYY_Nexstar 2025.xls</x:v>
      </x:c>
    </x:row>
    <x:row r="298" ht="25" customHeight="1">
      <x:c r="A298" s="3" t="str">
        <x:v>NEXSTAR MEDIA GROUP, INC.</x:v>
      </x:c>
      <x:c r="B298" s="3" t="str">
        <x:v>2024-01-01~2024-12-31</x:v>
      </x:c>
      <x:c r="C298" s="3" t="str">
        <x:v>2024-12-31</x:v>
      </x:c>
      <x:c r="D298" s="3" t="str">
        <x:v>Total debt</x:v>
      </x:c>
      <x:c r="E298" s="6" t="n">
        <x:f>'計算底稿'!L32</x:f>
        <x:v>6523000</x:v>
      </x:c>
      <x:c r="F298" s="3" t="str">
        <x:v>USD  thousand</x:v>
      </x:c>
      <x:c r="G298" s="3" t="str">
        <x:v>推算值／列示項目小計</x:v>
      </x:c>
      <x:c r="H298" s="3" t="str">
        <x:v>Report1!M41, Report1!M43, Report1!M55, Report1!M56</x:v>
      </x:c>
      <x:c r="I298" s="3" t="str">
        <x:v>短期借款＋一年內到期長債＋長期銀行借款＋公司債</x:v>
      </x:c>
      <x:c r="J298" s="3" t="str">
        <x:v>計算底稿!L32</x:v>
      </x:c>
      <x:c r="K298" s="3" t="str">
        <x:v>空白項未計入；租賃等未另加，非契約確認總債務。</x:v>
      </x:c>
      <x:c r="L298" s="3" t="str">
        <x:v>/Users/yuntzuyu/Downloads/e-loan/Year/E-loan YYYY_Nexstar 2025.xls</x:v>
      </x:c>
    </x:row>
    <x:row r="299" ht="25" customHeight="1">
      <x:c r="A299" s="3" t="str">
        <x:v>NEXSTAR MEDIA GROUP, INC.</x:v>
      </x:c>
      <x:c r="B299" s="3" t="str">
        <x:v>2024-01-01~2024-12-31</x:v>
      </x:c>
      <x:c r="C299" s="3" t="str">
        <x:v>2024-12-31</x:v>
      </x:c>
      <x:c r="D299" s="3" t="str">
        <x:v>EBITDA（報表口徑）</x:v>
      </x:c>
      <x:c r="E299" s="6" t="n">
        <x:f>'計算底稿'!M32</x:f>
        <x:v>2211000</x:v>
      </x:c>
      <x:c r="F299" s="3" t="str">
        <x:v>USD  thousand</x:v>
      </x:c>
      <x:c r="G299" s="3" t="str">
        <x:v>推算值</x:v>
      </x:c>
      <x:c r="H299" s="3" t="str">
        <x:v>Report1!M111, Report1!M106, Report1!M121, Report1!M201</x:v>
      </x:c>
      <x:c r="I299" s="3" t="str">
        <x:v>稅前損益＋利息費用＋折舊攤銷</x:v>
      </x:c>
      <x:c r="J299" s="3" t="str">
        <x:v>計算底稿!M32</x:v>
      </x:c>
      <x:c r="K299" s="3" t="str">
        <x:v>可重現原表EBITDA/Interest；含業外損益。</x:v>
      </x:c>
      <x:c r="L299" s="3" t="str">
        <x:v>/Users/yuntzuyu/Downloads/e-loan/Year/E-loan YYYY_Nexstar 2025.xls</x:v>
      </x:c>
    </x:row>
    <x:row r="300" ht="25" customHeight="1">
      <x:c r="A300" s="3" t="str">
        <x:v>NEXSTAR MEDIA GROUP, INC.</x:v>
      </x:c>
      <x:c r="B300" s="3" t="str">
        <x:v>2024-01-01~2024-12-31</x:v>
      </x:c>
      <x:c r="C300" s="3" t="str">
        <x:v>2024-12-31</x:v>
      </x:c>
      <x:c r="D300" s="3" t="str">
        <x:v>EBITDA basis</x:v>
      </x:c>
      <x:c r="E300" s="3" t="str">
        <x:v>稅前損益＋利息＋折舊攤銷</x:v>
      </x:c>
      <x:c r="F300" s="3" t="str">
        <x:v>文字</x:v>
      </x:c>
      <x:c r="G300" s="3" t="str">
        <x:v>口徑說明</x:v>
      </x:c>
      <x:c r="H300" s="3" t="str">
        <x:v>Report1!M111, Report1!M106, Report1!M121</x:v>
      </x:c>
      <x:c r="I300" s="3" t="str">
        <x:v>稅前損益＋利息費用＋折舊攤銷</x:v>
      </x:c>
      <x:c r="J300" s="3" t="str">
        <x:v>計算底稿!M32</x:v>
      </x:c>
      <x:c r="K300" s="3" t="str">
        <x:v>本列為文字定義；不代表Adjusted或契約EBITDA。</x:v>
      </x:c>
      <x:c r="L300" s="3" t="str">
        <x:v>/Users/yuntzuyu/Downloads/e-loan/Year/E-loan YYYY_Nexstar 2025.xls</x:v>
      </x:c>
    </x:row>
    <x:row r="301" ht="25" customHeight="1">
      <x:c r="A301" s="3" t="str">
        <x:v>NEXSTAR MEDIA GROUP, INC.</x:v>
      </x:c>
      <x:c r="B301" s="3" t="str">
        <x:v>2024-01-01~2024-12-31</x:v>
      </x:c>
      <x:c r="C301" s="3" t="str">
        <x:v>2024-12-31</x:v>
      </x:c>
      <x:c r="D301" s="3" t="str">
        <x:v>LTM EBITDA</x:v>
      </x:c>
      <x:c r="E301" s="6" t="n">
        <x:f>'計算底稿'!P32</x:f>
        <x:v>2211000</x:v>
      </x:c>
      <x:c r="F301" s="3" t="str">
        <x:v>USD  thousand</x:v>
      </x:c>
      <x:c r="G301" s="3" t="str">
        <x:v>推算值</x:v>
      </x:c>
      <x:c r="H301" s="3" t="str">
        <x:v>Report1!M111, Report1!M106, Report1!M121</x:v>
      </x:c>
      <x:c r="I301" s="3" t="str">
        <x:v>全年：當年EBITDA；期中：前全年＋本YTD−前YTD</x:v>
      </x:c>
      <x:c r="J301" s="3" t="str">
        <x:v>計算底稿!P32</x:v>
      </x:c>
      <x:c r="K301" s="3" t="str">
        <x:v>期中缺前同期則資料不足；不採YTD×2或×4。</x:v>
      </x:c>
      <x:c r="L301" s="3" t="str">
        <x:v>/Users/yuntzuyu/Downloads/e-loan/Year/E-loan YYYY_Nexstar 2025.xls</x:v>
      </x:c>
    </x:row>
    <x:row r="302" ht="25" customHeight="1">
      <x:c r="A302" s="3" t="str">
        <x:v>NEXSTAR MEDIA GROUP, INC.</x:v>
      </x:c>
      <x:c r="B302" s="3" t="str">
        <x:v>2024-01-01~2024-12-31</x:v>
      </x:c>
      <x:c r="C302" s="3" t="str">
        <x:v>2024-12-31</x:v>
      </x:c>
      <x:c r="D302" s="3" t="str">
        <x:v>Total leverage ratio</x:v>
      </x:c>
      <x:c r="E302" s="8" t="n">
        <x:f>'計算底稿'!Q32</x:f>
        <x:v>2.9502487562189055</x:v>
      </x:c>
      <x:c r="F302" s="3" t="str">
        <x:v>倍</x:v>
      </x:c>
      <x:c r="G302" s="3" t="str">
        <x:v>推算值／非契約倍數</x:v>
      </x:c>
      <x:c r="H302" s="3" t="str">
        <x:v>Report1!M41, Report1!M43, Report1!M55, Report1!M56, Report1!M111, Report1!M106, Report1!M121</x:v>
      </x:c>
      <x:c r="I302" s="3" t="str">
        <x:v>期末列示債務合計÷LTM EBITDA</x:v>
      </x:c>
      <x:c r="J302" s="3" t="str">
        <x:v>計算底稿!Q32</x:v>
      </x:c>
      <x:c r="K302" s="3" t="str">
        <x:v>未扣現金；不含未辨識租賃；EBITDA≤0時標示不具意義。</x:v>
      </x:c>
      <x:c r="L302" s="3" t="str">
        <x:v>/Users/yuntzuyu/Downloads/e-loan/Year/E-loan YYYY_Nexstar 2025.xls</x:v>
      </x:c>
    </x:row>
    <x:row r="303" ht="25" customHeight="1">
      <x:c r="A303" s="3" t="str">
        <x:v>NEXSTAR MEDIA GROUP, INC.</x:v>
      </x:c>
      <x:c r="B303" s="3" t="str">
        <x:v>2025-01-01~2025-12-31</x:v>
      </x:c>
      <x:c r="C303" s="3" t="str">
        <x:v>2025-12-31</x:v>
      </x:c>
      <x:c r="D303" s="3" t="str">
        <x:v>Cost of revenues</x:v>
      </x:c>
      <x:c r="E303" s="6" t="n">
        <x:f>'計算底稿'!F33</x:f>
        <x:v>2235000</x:v>
      </x:c>
      <x:c r="F303" s="3" t="str">
        <x:v>USD  thousand</x:v>
      </x:c>
      <x:c r="G303" s="3" t="str">
        <x:v>原始報表數字</x:v>
      </x:c>
      <x:c r="H303" s="3" t="str">
        <x:v>Report1!R86</x:v>
      </x:c>
      <x:c r="I303" s="3" t="str">
        <x:v>營收−毛利（驗算）</x:v>
      </x:c>
      <x:c r="J303" s="3" t="str">
        <x:v>計算底稿!F33</x:v>
      </x:c>
      <x:c r="K303" s="3" t="str">
        <x:v>對應Operating Cost/COGS；缺成本細項。</x:v>
      </x:c>
      <x:c r="L303" s="3" t="str">
        <x:v>/Users/yuntzuyu/Downloads/e-loan/Year/E-loan YYYY_Nexstar 2025.xls</x:v>
      </x:c>
    </x:row>
    <x:row r="304" ht="25" customHeight="1">
      <x:c r="A304" s="3" t="str">
        <x:v>NEXSTAR MEDIA GROUP, INC.</x:v>
      </x:c>
      <x:c r="B304" s="3" t="str">
        <x:v>2025-01-01~2025-12-31</x:v>
      </x:c>
      <x:c r="C304" s="3" t="str">
        <x:v>2025-12-31</x:v>
      </x:c>
      <x:c r="D304" s="3" t="str">
        <x:v>Gross profit</x:v>
      </x:c>
      <x:c r="E304" s="6" t="n">
        <x:f>'計算底稿'!G33</x:f>
        <x:v>2714000</x:v>
      </x:c>
      <x:c r="F304" s="3" t="str">
        <x:v>USD  thousand</x:v>
      </x:c>
      <x:c r="G304" s="3" t="str">
        <x:v>原始報表數字</x:v>
      </x:c>
      <x:c r="H304" s="3" t="str">
        <x:v>Report1!R94, Report1!R80, Report1!R86</x:v>
      </x:c>
      <x:c r="I304" s="3" t="str">
        <x:v>營收−營收成本</x:v>
      </x:c>
      <x:c r="J304" s="3" t="str">
        <x:v>計算底稿!G33</x:v>
      </x:c>
      <x:c r="K304" s="3" t="str">
        <x:v>原值與驗算一致。</x:v>
      </x:c>
      <x:c r="L304" s="3" t="str">
        <x:v>/Users/yuntzuyu/Downloads/e-loan/Year/E-loan YYYY_Nexstar 2025.xls</x:v>
      </x:c>
    </x:row>
    <x:row r="305" ht="25" customHeight="1">
      <x:c r="A305" s="3" t="str">
        <x:v>NEXSTAR MEDIA GROUP, INC.</x:v>
      </x:c>
      <x:c r="B305" s="3" t="str">
        <x:v>2025-01-01~2025-12-31</x:v>
      </x:c>
      <x:c r="C305" s="3" t="str">
        <x:v>2025-12-31</x:v>
      </x:c>
      <x:c r="D305" s="3" t="str">
        <x:v>Operating expense</x:v>
      </x:c>
      <x:c r="E305" s="6" t="n">
        <x:f>'計算底稿'!H33</x:f>
        <x:v>1865000</x:v>
      </x:c>
      <x:c r="F305" s="3" t="str">
        <x:v>USD  thousand</x:v>
      </x:c>
      <x:c r="G305" s="3" t="str">
        <x:v>原始報表數字</x:v>
      </x:c>
      <x:c r="H305" s="3" t="str">
        <x:v>Report1!R96, Report1!R94, Report1!R97</x:v>
      </x:c>
      <x:c r="I305" s="3" t="str">
        <x:v>毛利−營業利益（驗算）</x:v>
      </x:c>
      <x:c r="J305" s="3" t="str">
        <x:v>計算底稿!H33</x:v>
      </x:c>
      <x:c r="K305" s="3" t="str">
        <x:v>缺銷管、研發、減損等細分。</x:v>
      </x:c>
      <x:c r="L305" s="3" t="str">
        <x:v>/Users/yuntzuyu/Downloads/e-loan/Year/E-loan YYYY_Nexstar 2025.xls</x:v>
      </x:c>
    </x:row>
    <x:row r="306" ht="25" customHeight="1">
      <x:c r="A306" s="3" t="str">
        <x:v>NEXSTAR MEDIA GROUP, INC.</x:v>
      </x:c>
      <x:c r="B306" s="3" t="str">
        <x:v>2025-01-01~2025-12-31</x:v>
      </x:c>
      <x:c r="C306" s="3" t="str">
        <x:v>2025-12-31</x:v>
      </x:c>
      <x:c r="D306" s="3" t="str">
        <x:v>Interest expense</x:v>
      </x:c>
      <x:c r="E306" s="6" t="n">
        <x:f>'計算底稿'!I33</x:f>
        <x:v>379000</x:v>
      </x:c>
      <x:c r="F306" s="3" t="str">
        <x:v>USD  thousand</x:v>
      </x:c>
      <x:c r="G306" s="3" t="str">
        <x:v>原始報表數字</x:v>
      </x:c>
      <x:c r="H306" s="3" t="str">
        <x:v>Report1!R106</x:v>
      </x:c>
      <x:c r="I306" s="3" t="str">
        <x:v>直接取原報表第106列</x:v>
      </x:c>
      <x:c r="J306" s="3" t="str">
        <x:v>計算底稿!I33</x:v>
      </x:c>
      <x:c r="K306" s="3" t="str">
        <x:v>屬應計費用；不是現金付息，也不以期末債務×利率替代。</x:v>
      </x:c>
      <x:c r="L306" s="3" t="str">
        <x:v>/Users/yuntzuyu/Downloads/e-loan/Year/E-loan YYYY_Nexstar 2025.xls</x:v>
      </x:c>
    </x:row>
    <x:row r="307" ht="25" customHeight="1">
      <x:c r="A307" s="3" t="str">
        <x:v>NEXSTAR MEDIA GROUP, INC.</x:v>
      </x:c>
      <x:c r="B307" s="3" t="str">
        <x:v>2025-01-01~2025-12-31</x:v>
      </x:c>
      <x:c r="C307" s="3" t="str">
        <x:v>2025-12-31</x:v>
      </x:c>
      <x:c r="D307" s="3" t="str">
        <x:v>Quick ratio</x:v>
      </x:c>
      <x:c r="E307" s="7" t="n">
        <x:f>'計算底稿'!J33</x:f>
        <x:v>1.9058000000000002</x:v>
      </x:c>
      <x:c r="F307" s="3" t="str">
        <x:v>%</x:v>
      </x:c>
      <x:c r="G307" s="3" t="str">
        <x:v>原始報表數字</x:v>
      </x:c>
      <x:c r="H307" s="3" t="str">
        <x:v>Report1!R198, Report1!R11, Report1!R12, Report1!R13, Report1!R40</x:v>
      </x:c>
      <x:c r="I307" s="3" t="str">
        <x:v>(現金＋流動金融資產＋應收款項)÷流動負債</x:v>
      </x:c>
      <x:c r="J307" s="3" t="str">
        <x:v>計算底稿!J33</x:v>
      </x:c>
      <x:c r="K307" s="3" t="str">
        <x:v>原值為百分比；非直接以流動資產扣存貨。</x:v>
      </x:c>
      <x:c r="L307" s="3" t="str">
        <x:v>/Users/yuntzuyu/Downloads/e-loan/Year/E-loan YYYY_Nexstar 2025.xls</x:v>
      </x:c>
    </x:row>
    <x:row r="308" ht="25" customHeight="1">
      <x:c r="A308" s="3" t="str">
        <x:v>NEXSTAR MEDIA GROUP, INC.</x:v>
      </x:c>
      <x:c r="B308" s="3" t="str">
        <x:v>2025-01-01~2025-12-31</x:v>
      </x:c>
      <x:c r="C308" s="3" t="str">
        <x:v>2025-12-31</x:v>
      </x:c>
      <x:c r="D308" s="3" t="str">
        <x:v>Debt ratio</x:v>
      </x:c>
      <x:c r="E308" s="7" t="n">
        <x:f>'計算底稿'!K33</x:f>
        <x:v>4.2599</x:v>
      </x:c>
      <x:c r="F308" s="3" t="str">
        <x:v>%</x:v>
      </x:c>
      <x:c r="G308" s="3" t="str">
        <x:v>原始報表數字</x:v>
      </x:c>
      <x:c r="H308" s="3" t="str">
        <x:v>Report1!R203, Report1!R62, Report1!R70</x:v>
      </x:c>
      <x:c r="I308" s="3" t="str">
        <x:v>總負債÷淨值</x:v>
      </x:c>
      <x:c r="J308" s="3" t="str">
        <x:v>計算底稿!K33</x:v>
      </x:c>
      <x:c r="K308" s="3" t="str">
        <x:v>實際為負債淨值比；非負債資產比，亦非有息債務比。</x:v>
      </x:c>
      <x:c r="L308" s="3" t="str">
        <x:v>/Users/yuntzuyu/Downloads/e-loan/Year/E-loan YYYY_Nexstar 2025.xls</x:v>
      </x:c>
    </x:row>
    <x:row r="309" ht="25" customHeight="1">
      <x:c r="A309" s="3" t="str">
        <x:v>NEXSTAR MEDIA GROUP, INC.</x:v>
      </x:c>
      <x:c r="B309" s="3" t="str">
        <x:v>2025-01-01~2025-12-31</x:v>
      </x:c>
      <x:c r="C309" s="3" t="str">
        <x:v>2025-12-31</x:v>
      </x:c>
      <x:c r="D309" s="3" t="str">
        <x:v>Total debt</x:v>
      </x:c>
      <x:c r="E309" s="6" t="n">
        <x:f>'計算底稿'!L33</x:f>
        <x:v>6333000</x:v>
      </x:c>
      <x:c r="F309" s="3" t="str">
        <x:v>USD  thousand</x:v>
      </x:c>
      <x:c r="G309" s="3" t="str">
        <x:v>推算值／列示項目小計</x:v>
      </x:c>
      <x:c r="H309" s="3" t="str">
        <x:v>Report1!R41, Report1!R43, Report1!R55, Report1!R56</x:v>
      </x:c>
      <x:c r="I309" s="3" t="str">
        <x:v>短期借款＋一年內到期長債＋長期銀行借款＋公司債</x:v>
      </x:c>
      <x:c r="J309" s="3" t="str">
        <x:v>計算底稿!L33</x:v>
      </x:c>
      <x:c r="K309" s="3" t="str">
        <x:v>空白項未計入；租賃等未另加，非契約確認總債務。</x:v>
      </x:c>
      <x:c r="L309" s="3" t="str">
        <x:v>/Users/yuntzuyu/Downloads/e-loan/Year/E-loan YYYY_Nexstar 2025.xls</x:v>
      </x:c>
    </x:row>
    <x:row r="310" ht="25" customHeight="1">
      <x:c r="A310" s="3" t="str">
        <x:v>NEXSTAR MEDIA GROUP, INC.</x:v>
      </x:c>
      <x:c r="B310" s="3" t="str">
        <x:v>2025-01-01~2025-12-31</x:v>
      </x:c>
      <x:c r="C310" s="3" t="str">
        <x:v>2025-12-31</x:v>
      </x:c>
      <x:c r="D310" s="3" t="str">
        <x:v>EBITDA（報表口徑）</x:v>
      </x:c>
      <x:c r="E310" s="6" t="n">
        <x:f>'計算底稿'!M33</x:f>
        <x:v>1314000</x:v>
      </x:c>
      <x:c r="F310" s="3" t="str">
        <x:v>USD  thousand</x:v>
      </x:c>
      <x:c r="G310" s="3" t="str">
        <x:v>推算值</x:v>
      </x:c>
      <x:c r="H310" s="3" t="str">
        <x:v>Report1!R111, Report1!R106, Report1!R121, Report1!R201</x:v>
      </x:c>
      <x:c r="I310" s="3" t="str">
        <x:v>稅前損益＋利息費用＋折舊攤銷</x:v>
      </x:c>
      <x:c r="J310" s="3" t="str">
        <x:v>計算底稿!M33</x:v>
      </x:c>
      <x:c r="K310" s="3" t="str">
        <x:v>可重現原表EBITDA/Interest；含業外損益。</x:v>
      </x:c>
      <x:c r="L310" s="3" t="str">
        <x:v>/Users/yuntzuyu/Downloads/e-loan/Year/E-loan YYYY_Nexstar 2025.xls</x:v>
      </x:c>
    </x:row>
    <x:row r="311" ht="25" customHeight="1">
      <x:c r="A311" s="3" t="str">
        <x:v>NEXSTAR MEDIA GROUP, INC.</x:v>
      </x:c>
      <x:c r="B311" s="3" t="str">
        <x:v>2025-01-01~2025-12-31</x:v>
      </x:c>
      <x:c r="C311" s="3" t="str">
        <x:v>2025-12-31</x:v>
      </x:c>
      <x:c r="D311" s="3" t="str">
        <x:v>EBITDA basis</x:v>
      </x:c>
      <x:c r="E311" s="3" t="str">
        <x:v>稅前損益＋利息＋折舊攤銷</x:v>
      </x:c>
      <x:c r="F311" s="3" t="str">
        <x:v>文字</x:v>
      </x:c>
      <x:c r="G311" s="3" t="str">
        <x:v>口徑說明</x:v>
      </x:c>
      <x:c r="H311" s="3" t="str">
        <x:v>Report1!R111, Report1!R106, Report1!R121</x:v>
      </x:c>
      <x:c r="I311" s="3" t="str">
        <x:v>稅前損益＋利息費用＋折舊攤銷</x:v>
      </x:c>
      <x:c r="J311" s="3" t="str">
        <x:v>計算底稿!M33</x:v>
      </x:c>
      <x:c r="K311" s="3" t="str">
        <x:v>本列為文字定義；不代表Adjusted或契約EBITDA。</x:v>
      </x:c>
      <x:c r="L311" s="3" t="str">
        <x:v>/Users/yuntzuyu/Downloads/e-loan/Year/E-loan YYYY_Nexstar 2025.xls</x:v>
      </x:c>
    </x:row>
    <x:row r="312" ht="25" customHeight="1">
      <x:c r="A312" s="3" t="str">
        <x:v>NEXSTAR MEDIA GROUP, INC.</x:v>
      </x:c>
      <x:c r="B312" s="3" t="str">
        <x:v>2025-01-01~2025-12-31</x:v>
      </x:c>
      <x:c r="C312" s="3" t="str">
        <x:v>2025-12-31</x:v>
      </x:c>
      <x:c r="D312" s="3" t="str">
        <x:v>LTM EBITDA</x:v>
      </x:c>
      <x:c r="E312" s="6" t="n">
        <x:f>'計算底稿'!P33</x:f>
        <x:v>1314000</x:v>
      </x:c>
      <x:c r="F312" s="3" t="str">
        <x:v>USD  thousand</x:v>
      </x:c>
      <x:c r="G312" s="3" t="str">
        <x:v>推算值</x:v>
      </x:c>
      <x:c r="H312" s="3" t="str">
        <x:v>Report1!R111, Report1!R106, Report1!R121</x:v>
      </x:c>
      <x:c r="I312" s="3" t="str">
        <x:v>全年：當年EBITDA；期中：前全年＋本YTD−前YTD</x:v>
      </x:c>
      <x:c r="J312" s="3" t="str">
        <x:v>計算底稿!P33</x:v>
      </x:c>
      <x:c r="K312" s="3" t="str">
        <x:v>期中缺前同期則資料不足；不採YTD×2或×4。</x:v>
      </x:c>
      <x:c r="L312" s="3" t="str">
        <x:v>/Users/yuntzuyu/Downloads/e-loan/Year/E-loan YYYY_Nexstar 2025.xls</x:v>
      </x:c>
    </x:row>
    <x:row r="313" ht="25" customHeight="1">
      <x:c r="A313" s="3" t="str">
        <x:v>NEXSTAR MEDIA GROUP, INC.</x:v>
      </x:c>
      <x:c r="B313" s="3" t="str">
        <x:v>2025-01-01~2025-12-31</x:v>
      </x:c>
      <x:c r="C313" s="3" t="str">
        <x:v>2025-12-31</x:v>
      </x:c>
      <x:c r="D313" s="3" t="str">
        <x:v>Total leverage ratio</x:v>
      </x:c>
      <x:c r="E313" s="8" t="n">
        <x:f>'計算底稿'!Q33</x:f>
        <x:v>4.819634703196347</x:v>
      </x:c>
      <x:c r="F313" s="3" t="str">
        <x:v>倍</x:v>
      </x:c>
      <x:c r="G313" s="3" t="str">
        <x:v>推算值／非契約倍數</x:v>
      </x:c>
      <x:c r="H313" s="3" t="str">
        <x:v>Report1!R41, Report1!R43, Report1!R55, Report1!R56, Report1!R111, Report1!R106, Report1!R121</x:v>
      </x:c>
      <x:c r="I313" s="3" t="str">
        <x:v>期末列示債務合計÷LTM EBITDA</x:v>
      </x:c>
      <x:c r="J313" s="3" t="str">
        <x:v>計算底稿!Q33</x:v>
      </x:c>
      <x:c r="K313" s="3" t="str">
        <x:v>未扣現金；不含未辨識租賃；EBITDA≤0時標示不具意義。</x:v>
      </x:c>
      <x:c r="L313" s="3" t="str">
        <x:v>/Users/yuntzuyu/Downloads/e-loan/Year/E-loan YYYY_Nexstar 2025.xls</x:v>
      </x:c>
    </x:row>
    <x:row r="314" ht="25" customHeight="1">
      <x:c r="A314" s="3" t="str">
        <x:v>XPO, INC.</x:v>
      </x:c>
      <x:c r="B314" s="3" t="str">
        <x:v>2022-01-01~2022-12-31</x:v>
      </x:c>
      <x:c r="C314" s="3" t="str">
        <x:v>2022-12-31</x:v>
      </x:c>
      <x:c r="D314" s="3" t="str">
        <x:v>Cost of revenues</x:v>
      </x:c>
      <x:c r="E314" s="6" t="n">
        <x:f>'計算底稿'!F34</x:f>
        <x:v>4043</x:v>
      </x:c>
      <x:c r="F314" s="3" t="str">
        <x:v>USD  million</x:v>
      </x:c>
      <x:c r="G314" s="3" t="str">
        <x:v>原始報表數字</x:v>
      </x:c>
      <x:c r="H314" s="3" t="str">
        <x:v>Report1!D86</x:v>
      </x:c>
      <x:c r="I314" s="3" t="str">
        <x:v>營收−毛利（驗算）</x:v>
      </x:c>
      <x:c r="J314" s="3" t="str">
        <x:v>計算底稿!F34</x:v>
      </x:c>
      <x:c r="K314" s="3" t="str">
        <x:v>對應Operating Cost/COGS；缺成本細項。</x:v>
      </x:c>
      <x:c r="L314" s="3" t="str">
        <x:v>/Users/yuntzuyu/Downloads/e-loan/Year/E-loan YYYY_XPO 2025.xls</x:v>
      </x:c>
    </x:row>
    <x:row r="315" ht="25" customHeight="1">
      <x:c r="A315" s="3" t="str">
        <x:v>XPO, INC.</x:v>
      </x:c>
      <x:c r="B315" s="3" t="str">
        <x:v>2022-01-01~2022-12-31</x:v>
      </x:c>
      <x:c r="C315" s="3" t="str">
        <x:v>2022-12-31</x:v>
      </x:c>
      <x:c r="D315" s="3" t="str">
        <x:v>Gross profit</x:v>
      </x:c>
      <x:c r="E315" s="6" t="n">
        <x:f>'計算底稿'!G34</x:f>
        <x:v>3675</x:v>
      </x:c>
      <x:c r="F315" s="3" t="str">
        <x:v>USD  million</x:v>
      </x:c>
      <x:c r="G315" s="3" t="str">
        <x:v>原始報表數字</x:v>
      </x:c>
      <x:c r="H315" s="3" t="str">
        <x:v>Report1!D94, Report1!D80, Report1!D86</x:v>
      </x:c>
      <x:c r="I315" s="3" t="str">
        <x:v>營收−營收成本</x:v>
      </x:c>
      <x:c r="J315" s="3" t="str">
        <x:v>計算底稿!G34</x:v>
      </x:c>
      <x:c r="K315" s="3" t="str">
        <x:v>原值與驗算一致。</x:v>
      </x:c>
      <x:c r="L315" s="3" t="str">
        <x:v>/Users/yuntzuyu/Downloads/e-loan/Year/E-loan YYYY_XPO 2025.xls</x:v>
      </x:c>
    </x:row>
    <x:row r="316" ht="25" customHeight="1">
      <x:c r="A316" s="3" t="str">
        <x:v>XPO, INC.</x:v>
      </x:c>
      <x:c r="B316" s="3" t="str">
        <x:v>2022-01-01~2022-12-31</x:v>
      </x:c>
      <x:c r="C316" s="3" t="str">
        <x:v>2022-12-31</x:v>
      </x:c>
      <x:c r="D316" s="3" t="str">
        <x:v>Operating expense</x:v>
      </x:c>
      <x:c r="E316" s="6" t="n">
        <x:f>'計算底稿'!H34</x:f>
        <x:v>3358</x:v>
      </x:c>
      <x:c r="F316" s="3" t="str">
        <x:v>USD  million</x:v>
      </x:c>
      <x:c r="G316" s="3" t="str">
        <x:v>原始報表數字</x:v>
      </x:c>
      <x:c r="H316" s="3" t="str">
        <x:v>Report1!D96, Report1!D94, Report1!D97</x:v>
      </x:c>
      <x:c r="I316" s="3" t="str">
        <x:v>毛利−營業利益（驗算）</x:v>
      </x:c>
      <x:c r="J316" s="3" t="str">
        <x:v>計算底稿!H34</x:v>
      </x:c>
      <x:c r="K316" s="3" t="str">
        <x:v>缺銷管、研發、減損等細分。</x:v>
      </x:c>
      <x:c r="L316" s="3" t="str">
        <x:v>/Users/yuntzuyu/Downloads/e-loan/Year/E-loan YYYY_XPO 2025.xls</x:v>
      </x:c>
    </x:row>
    <x:row r="317" ht="25" customHeight="1">
      <x:c r="A317" s="3" t="str">
        <x:v>XPO, INC.</x:v>
      </x:c>
      <x:c r="B317" s="3" t="str">
        <x:v>2022-01-01~2022-12-31</x:v>
      </x:c>
      <x:c r="C317" s="3" t="str">
        <x:v>2022-12-31</x:v>
      </x:c>
      <x:c r="D317" s="3" t="str">
        <x:v>Interest expense</x:v>
      </x:c>
      <x:c r="E317" s="6" t="n">
        <x:f>'計算底稿'!I34</x:f>
        <x:v>135</x:v>
      </x:c>
      <x:c r="F317" s="3" t="str">
        <x:v>USD  million</x:v>
      </x:c>
      <x:c r="G317" s="3" t="str">
        <x:v>原始報表數字</x:v>
      </x:c>
      <x:c r="H317" s="3" t="str">
        <x:v>Report1!D106</x:v>
      </x:c>
      <x:c r="I317" s="3" t="str">
        <x:v>直接取原報表第106列</x:v>
      </x:c>
      <x:c r="J317" s="3" t="str">
        <x:v>計算底稿!I34</x:v>
      </x:c>
      <x:c r="K317" s="3" t="str">
        <x:v>屬應計費用；不是現金付息，也不以期末債務×利率替代。</x:v>
      </x:c>
      <x:c r="L317" s="3" t="str">
        <x:v>/Users/yuntzuyu/Downloads/e-loan/Year/E-loan YYYY_XPO 2025.xls</x:v>
      </x:c>
    </x:row>
    <x:row r="318" ht="25" customHeight="1">
      <x:c r="A318" s="3" t="str">
        <x:v>XPO, INC.</x:v>
      </x:c>
      <x:c r="B318" s="3" t="str">
        <x:v>2022-01-01~2022-12-31</x:v>
      </x:c>
      <x:c r="C318" s="3" t="str">
        <x:v>2022-12-31</x:v>
      </x:c>
      <x:c r="D318" s="3" t="str">
        <x:v>Quick ratio</x:v>
      </x:c>
      <x:c r="E318" s="7" t="n">
        <x:f>'計算底稿'!J34</x:f>
        <x:v>0.9383</x:v>
      </x:c>
      <x:c r="F318" s="3" t="str">
        <x:v>%</x:v>
      </x:c>
      <x:c r="G318" s="3" t="str">
        <x:v>原始報表數字</x:v>
      </x:c>
      <x:c r="H318" s="3" t="str">
        <x:v>Report1!D198, Report1!D11, Report1!D12, Report1!D13, Report1!D40</x:v>
      </x:c>
      <x:c r="I318" s="3" t="str">
        <x:v>(現金＋流動金融資產＋應收款項)÷流動負債</x:v>
      </x:c>
      <x:c r="J318" s="3" t="str">
        <x:v>計算底稿!J34</x:v>
      </x:c>
      <x:c r="K318" s="3" t="str">
        <x:v>原值為百分比；非直接以流動資產扣存貨。</x:v>
      </x:c>
      <x:c r="L318" s="3" t="str">
        <x:v>/Users/yuntzuyu/Downloads/e-loan/Year/E-loan YYYY_XPO 2025.xls</x:v>
      </x:c>
    </x:row>
    <x:row r="319" ht="25" customHeight="1">
      <x:c r="A319" s="3" t="str">
        <x:v>XPO, INC.</x:v>
      </x:c>
      <x:c r="B319" s="3" t="str">
        <x:v>2022-01-01~2022-12-31</x:v>
      </x:c>
      <x:c r="C319" s="3" t="str">
        <x:v>2022-12-31</x:v>
      </x:c>
      <x:c r="D319" s="3" t="str">
        <x:v>Debt ratio</x:v>
      </x:c>
      <x:c r="E319" s="7" t="n">
        <x:f>'計算底稿'!K34</x:f>
        <x:v>5.1947</x:v>
      </x:c>
      <x:c r="F319" s="3" t="str">
        <x:v>%</x:v>
      </x:c>
      <x:c r="G319" s="3" t="str">
        <x:v>原始報表數字</x:v>
      </x:c>
      <x:c r="H319" s="3" t="str">
        <x:v>Report1!D203, Report1!D62, Report1!D70</x:v>
      </x:c>
      <x:c r="I319" s="3" t="str">
        <x:v>總負債÷淨值</x:v>
      </x:c>
      <x:c r="J319" s="3" t="str">
        <x:v>計算底稿!K34</x:v>
      </x:c>
      <x:c r="K319" s="3" t="str">
        <x:v>實際為負債淨值比；非負債資產比，亦非有息債務比。</x:v>
      </x:c>
      <x:c r="L319" s="3" t="str">
        <x:v>/Users/yuntzuyu/Downloads/e-loan/Year/E-loan YYYY_XPO 2025.xls</x:v>
      </x:c>
    </x:row>
    <x:row r="320" ht="25" customHeight="1">
      <x:c r="A320" s="3" t="str">
        <x:v>XPO, INC.</x:v>
      </x:c>
      <x:c r="B320" s="3" t="str">
        <x:v>2022-01-01~2022-12-31</x:v>
      </x:c>
      <x:c r="C320" s="3" t="str">
        <x:v>2022-12-31</x:v>
      </x:c>
      <x:c r="D320" s="3" t="str">
        <x:v>Total debt</x:v>
      </x:c>
      <x:c r="E320" s="6" t="n">
        <x:f>'計算底稿'!L34</x:f>
        <x:v>2368</x:v>
      </x:c>
      <x:c r="F320" s="3" t="str">
        <x:v>USD  million</x:v>
      </x:c>
      <x:c r="G320" s="3" t="str">
        <x:v>推算值／列示項目小計</x:v>
      </x:c>
      <x:c r="H320" s="3" t="str">
        <x:v>Report1!D41, Report1!D43, Report1!D55, Report1!D56</x:v>
      </x:c>
      <x:c r="I320" s="3" t="str">
        <x:v>短期借款＋一年內到期長債＋長期銀行借款＋公司債</x:v>
      </x:c>
      <x:c r="J320" s="3" t="str">
        <x:v>計算底稿!L34</x:v>
      </x:c>
      <x:c r="K320" s="3" t="str">
        <x:v>空白項未計入；租賃等未另加，非契約確認總債務。</x:v>
      </x:c>
      <x:c r="L320" s="3" t="str">
        <x:v>/Users/yuntzuyu/Downloads/e-loan/Year/E-loan YYYY_XPO 2025.xls</x:v>
      </x:c>
    </x:row>
    <x:row r="321" ht="25" customHeight="1">
      <x:c r="A321" s="3" t="str">
        <x:v>XPO, INC.</x:v>
      </x:c>
      <x:c r="B321" s="3" t="str">
        <x:v>2022-01-01~2022-12-31</x:v>
      </x:c>
      <x:c r="C321" s="3" t="str">
        <x:v>2022-12-31</x:v>
      </x:c>
      <x:c r="D321" s="3" t="str">
        <x:v>EBITDA（報表口徑）</x:v>
      </x:c>
      <x:c r="E321" s="6" t="n">
        <x:f>'計算底稿'!M34</x:f>
        <x:v>785</x:v>
      </x:c>
      <x:c r="F321" s="3" t="str">
        <x:v>USD  million</x:v>
      </x:c>
      <x:c r="G321" s="3" t="str">
        <x:v>推算值</x:v>
      </x:c>
      <x:c r="H321" s="3" t="str">
        <x:v>Report1!D111, Report1!D106, Report1!D121, Report1!D201</x:v>
      </x:c>
      <x:c r="I321" s="3" t="str">
        <x:v>稅前損益＋利息費用＋折舊攤銷</x:v>
      </x:c>
      <x:c r="J321" s="3" t="str">
        <x:v>計算底稿!M34</x:v>
      </x:c>
      <x:c r="K321" s="3" t="str">
        <x:v>可重現原表EBITDA/Interest；含業外損益。</x:v>
      </x:c>
      <x:c r="L321" s="3" t="str">
        <x:v>/Users/yuntzuyu/Downloads/e-loan/Year/E-loan YYYY_XPO 2025.xls</x:v>
      </x:c>
    </x:row>
    <x:row r="322" ht="25" customHeight="1">
      <x:c r="A322" s="3" t="str">
        <x:v>XPO, INC.</x:v>
      </x:c>
      <x:c r="B322" s="3" t="str">
        <x:v>2022-01-01~2022-12-31</x:v>
      </x:c>
      <x:c r="C322" s="3" t="str">
        <x:v>2022-12-31</x:v>
      </x:c>
      <x:c r="D322" s="3" t="str">
        <x:v>EBITDA basis</x:v>
      </x:c>
      <x:c r="E322" s="3" t="str">
        <x:v>稅前損益＋利息＋折舊攤銷</x:v>
      </x:c>
      <x:c r="F322" s="3" t="str">
        <x:v>文字</x:v>
      </x:c>
      <x:c r="G322" s="3" t="str">
        <x:v>口徑說明</x:v>
      </x:c>
      <x:c r="H322" s="3" t="str">
        <x:v>Report1!D111, Report1!D106, Report1!D121</x:v>
      </x:c>
      <x:c r="I322" s="3" t="str">
        <x:v>稅前損益＋利息費用＋折舊攤銷</x:v>
      </x:c>
      <x:c r="J322" s="3" t="str">
        <x:v>計算底稿!M34</x:v>
      </x:c>
      <x:c r="K322" s="3" t="str">
        <x:v>本列為文字定義；不代表Adjusted或契約EBITDA。</x:v>
      </x:c>
      <x:c r="L322" s="3" t="str">
        <x:v>/Users/yuntzuyu/Downloads/e-loan/Year/E-loan YYYY_XPO 2025.xls</x:v>
      </x:c>
    </x:row>
    <x:row r="323" ht="25" customHeight="1">
      <x:c r="A323" s="3" t="str">
        <x:v>XPO, INC.</x:v>
      </x:c>
      <x:c r="B323" s="3" t="str">
        <x:v>2022-01-01~2022-12-31</x:v>
      </x:c>
      <x:c r="C323" s="3" t="str">
        <x:v>2022-12-31</x:v>
      </x:c>
      <x:c r="D323" s="3" t="str">
        <x:v>LTM EBITDA</x:v>
      </x:c>
      <x:c r="E323" s="6" t="n">
        <x:f>'計算底稿'!P34</x:f>
        <x:v>785</x:v>
      </x:c>
      <x:c r="F323" s="3" t="str">
        <x:v>USD  million</x:v>
      </x:c>
      <x:c r="G323" s="3" t="str">
        <x:v>推算值</x:v>
      </x:c>
      <x:c r="H323" s="3" t="str">
        <x:v>Report1!D111, Report1!D106, Report1!D121</x:v>
      </x:c>
      <x:c r="I323" s="3" t="str">
        <x:v>全年：當年EBITDA；期中：前全年＋本YTD−前YTD</x:v>
      </x:c>
      <x:c r="J323" s="3" t="str">
        <x:v>計算底稿!P34</x:v>
      </x:c>
      <x:c r="K323" s="3" t="str">
        <x:v>期中缺前同期則資料不足；不採YTD×2或×4。</x:v>
      </x:c>
      <x:c r="L323" s="3" t="str">
        <x:v>/Users/yuntzuyu/Downloads/e-loan/Year/E-loan YYYY_XPO 2025.xls</x:v>
      </x:c>
    </x:row>
    <x:row r="324" ht="25" customHeight="1">
      <x:c r="A324" s="3" t="str">
        <x:v>XPO, INC.</x:v>
      </x:c>
      <x:c r="B324" s="3" t="str">
        <x:v>2022-01-01~2022-12-31</x:v>
      </x:c>
      <x:c r="C324" s="3" t="str">
        <x:v>2022-12-31</x:v>
      </x:c>
      <x:c r="D324" s="3" t="str">
        <x:v>Total leverage ratio</x:v>
      </x:c>
      <x:c r="E324" s="8" t="n">
        <x:f>'計算底稿'!Q34</x:f>
        <x:v>3.0165605095541403</x:v>
      </x:c>
      <x:c r="F324" s="3" t="str">
        <x:v>倍</x:v>
      </x:c>
      <x:c r="G324" s="3" t="str">
        <x:v>推算值／非契約倍數</x:v>
      </x:c>
      <x:c r="H324" s="3" t="str">
        <x:v>Report1!D41, Report1!D43, Report1!D55, Report1!D56, Report1!D111, Report1!D106, Report1!D121</x:v>
      </x:c>
      <x:c r="I324" s="3" t="str">
        <x:v>期末列示債務合計÷LTM EBITDA</x:v>
      </x:c>
      <x:c r="J324" s="3" t="str">
        <x:v>計算底稿!Q34</x:v>
      </x:c>
      <x:c r="K324" s="3" t="str">
        <x:v>未扣現金；不含未辨識租賃；EBITDA≤0時標示不具意義。</x:v>
      </x:c>
      <x:c r="L324" s="3" t="str">
        <x:v>/Users/yuntzuyu/Downloads/e-loan/Year/E-loan YYYY_XPO 2025.xls</x:v>
      </x:c>
    </x:row>
    <x:row r="325" ht="25" customHeight="1">
      <x:c r="A325" s="3" t="str">
        <x:v>XPO, INC.</x:v>
      </x:c>
      <x:c r="B325" s="3" t="str">
        <x:v>2023-01-01~2023-12-31</x:v>
      </x:c>
      <x:c r="C325" s="3" t="str">
        <x:v>2023-12-31</x:v>
      </x:c>
      <x:c r="D325" s="3" t="str">
        <x:v>Cost of revenues</x:v>
      </x:c>
      <x:c r="E325" s="6" t="n">
        <x:f>'計算底稿'!F35</x:f>
        <x:v>3815</x:v>
      </x:c>
      <x:c r="F325" s="3" t="str">
        <x:v>USD  million</x:v>
      </x:c>
      <x:c r="G325" s="3" t="str">
        <x:v>原始報表數字</x:v>
      </x:c>
      <x:c r="H325" s="3" t="str">
        <x:v>Report1!I86</x:v>
      </x:c>
      <x:c r="I325" s="3" t="str">
        <x:v>營收−毛利（驗算）</x:v>
      </x:c>
      <x:c r="J325" s="3" t="str">
        <x:v>計算底稿!F35</x:v>
      </x:c>
      <x:c r="K325" s="3" t="str">
        <x:v>對應Operating Cost/COGS；缺成本細項。</x:v>
      </x:c>
      <x:c r="L325" s="3" t="str">
        <x:v>/Users/yuntzuyu/Downloads/e-loan/Year/E-loan YYYY_XPO 2025.xls</x:v>
      </x:c>
    </x:row>
    <x:row r="326" ht="25" customHeight="1">
      <x:c r="A326" s="3" t="str">
        <x:v>XPO, INC.</x:v>
      </x:c>
      <x:c r="B326" s="3" t="str">
        <x:v>2023-01-01~2023-12-31</x:v>
      </x:c>
      <x:c r="C326" s="3" t="str">
        <x:v>2023-12-31</x:v>
      </x:c>
      <x:c r="D326" s="3" t="str">
        <x:v>Gross profit</x:v>
      </x:c>
      <x:c r="E326" s="6" t="n">
        <x:f>'計算底稿'!G35</x:f>
        <x:v>3929</x:v>
      </x:c>
      <x:c r="F326" s="3" t="str">
        <x:v>USD  million</x:v>
      </x:c>
      <x:c r="G326" s="3" t="str">
        <x:v>原始報表數字</x:v>
      </x:c>
      <x:c r="H326" s="3" t="str">
        <x:v>Report1!I94, Report1!I80, Report1!I86</x:v>
      </x:c>
      <x:c r="I326" s="3" t="str">
        <x:v>營收−營收成本</x:v>
      </x:c>
      <x:c r="J326" s="3" t="str">
        <x:v>計算底稿!G35</x:v>
      </x:c>
      <x:c r="K326" s="3" t="str">
        <x:v>原值與驗算一致。</x:v>
      </x:c>
      <x:c r="L326" s="3" t="str">
        <x:v>/Users/yuntzuyu/Downloads/e-loan/Year/E-loan YYYY_XPO 2025.xls</x:v>
      </x:c>
    </x:row>
    <x:row r="327" ht="25" customHeight="1">
      <x:c r="A327" s="3" t="str">
        <x:v>XPO, INC.</x:v>
      </x:c>
      <x:c r="B327" s="3" t="str">
        <x:v>2023-01-01~2023-12-31</x:v>
      </x:c>
      <x:c r="C327" s="3" t="str">
        <x:v>2023-12-31</x:v>
      </x:c>
      <x:c r="D327" s="3" t="str">
        <x:v>Operating expense</x:v>
      </x:c>
      <x:c r="E327" s="6" t="n">
        <x:f>'計算底稿'!H35</x:f>
        <x:v>3491</x:v>
      </x:c>
      <x:c r="F327" s="3" t="str">
        <x:v>USD  million</x:v>
      </x:c>
      <x:c r="G327" s="3" t="str">
        <x:v>原始報表數字</x:v>
      </x:c>
      <x:c r="H327" s="3" t="str">
        <x:v>Report1!I96, Report1!I94, Report1!I97</x:v>
      </x:c>
      <x:c r="I327" s="3" t="str">
        <x:v>毛利−營業利益（驗算）</x:v>
      </x:c>
      <x:c r="J327" s="3" t="str">
        <x:v>計算底稿!H35</x:v>
      </x:c>
      <x:c r="K327" s="3" t="str">
        <x:v>缺銷管、研發、減損等細分。</x:v>
      </x:c>
      <x:c r="L327" s="3" t="str">
        <x:v>/Users/yuntzuyu/Downloads/e-loan/Year/E-loan YYYY_XPO 2025.xls</x:v>
      </x:c>
    </x:row>
    <x:row r="328" ht="25" customHeight="1">
      <x:c r="A328" s="3" t="str">
        <x:v>XPO, INC.</x:v>
      </x:c>
      <x:c r="B328" s="3" t="str">
        <x:v>2023-01-01~2023-12-31</x:v>
      </x:c>
      <x:c r="C328" s="3" t="str">
        <x:v>2023-12-31</x:v>
      </x:c>
      <x:c r="D328" s="3" t="str">
        <x:v>Interest expense</x:v>
      </x:c>
      <x:c r="E328" s="6" t="n">
        <x:f>'計算底稿'!I35</x:f>
        <x:v>168</x:v>
      </x:c>
      <x:c r="F328" s="3" t="str">
        <x:v>USD  million</x:v>
      </x:c>
      <x:c r="G328" s="3" t="str">
        <x:v>原始報表數字</x:v>
      </x:c>
      <x:c r="H328" s="3" t="str">
        <x:v>Report1!I106</x:v>
      </x:c>
      <x:c r="I328" s="3" t="str">
        <x:v>直接取原報表第106列</x:v>
      </x:c>
      <x:c r="J328" s="3" t="str">
        <x:v>計算底稿!I35</x:v>
      </x:c>
      <x:c r="K328" s="3" t="str">
        <x:v>屬應計費用；不是現金付息，也不以期末債務×利率替代。</x:v>
      </x:c>
      <x:c r="L328" s="3" t="str">
        <x:v>/Users/yuntzuyu/Downloads/e-loan/Year/E-loan YYYY_XPO 2025.xls</x:v>
      </x:c>
    </x:row>
    <x:row r="329" ht="25" customHeight="1">
      <x:c r="A329" s="3" t="str">
        <x:v>XPO, INC.</x:v>
      </x:c>
      <x:c r="B329" s="3" t="str">
        <x:v>2023-01-01~2023-12-31</x:v>
      </x:c>
      <x:c r="C329" s="3" t="str">
        <x:v>2023-12-31</x:v>
      </x:c>
      <x:c r="D329" s="3" t="str">
        <x:v>Quick ratio</x:v>
      </x:c>
      <x:c r="E329" s="7" t="n">
        <x:f>'計算底稿'!J35</x:f>
        <x:v>0.8711</x:v>
      </x:c>
      <x:c r="F329" s="3" t="str">
        <x:v>%</x:v>
      </x:c>
      <x:c r="G329" s="3" t="str">
        <x:v>原始報表數字</x:v>
      </x:c>
      <x:c r="H329" s="3" t="str">
        <x:v>Report1!I198, Report1!I11, Report1!I12, Report1!I13, Report1!I40</x:v>
      </x:c>
      <x:c r="I329" s="3" t="str">
        <x:v>(現金＋流動金融資產＋應收款項)÷流動負債</x:v>
      </x:c>
      <x:c r="J329" s="3" t="str">
        <x:v>計算底稿!J35</x:v>
      </x:c>
      <x:c r="K329" s="3" t="str">
        <x:v>原值為百分比；非直接以流動資產扣存貨。</x:v>
      </x:c>
      <x:c r="L329" s="3" t="str">
        <x:v>/Users/yuntzuyu/Downloads/e-loan/Year/E-loan YYYY_XPO 2025.xls</x:v>
      </x:c>
    </x:row>
    <x:row r="330" ht="25" customHeight="1">
      <x:c r="A330" s="3" t="str">
        <x:v>XPO, INC.</x:v>
      </x:c>
      <x:c r="B330" s="3" t="str">
        <x:v>2023-01-01~2023-12-31</x:v>
      </x:c>
      <x:c r="C330" s="3" t="str">
        <x:v>2023-12-31</x:v>
      </x:c>
      <x:c r="D330" s="3" t="str">
        <x:v>Debt ratio</x:v>
      </x:c>
      <x:c r="E330" s="7" t="n">
        <x:f>'計算底稿'!K35</x:f>
        <x:v>4.9179</x:v>
      </x:c>
      <x:c r="F330" s="3" t="str">
        <x:v>%</x:v>
      </x:c>
      <x:c r="G330" s="3" t="str">
        <x:v>原始報表數字</x:v>
      </x:c>
      <x:c r="H330" s="3" t="str">
        <x:v>Report1!I203, Report1!I62, Report1!I70</x:v>
      </x:c>
      <x:c r="I330" s="3" t="str">
        <x:v>總負債÷淨值</x:v>
      </x:c>
      <x:c r="J330" s="3" t="str">
        <x:v>計算底稿!K35</x:v>
      </x:c>
      <x:c r="K330" s="3" t="str">
        <x:v>實際為負債淨值比；非負債資產比，亦非有息債務比。</x:v>
      </x:c>
      <x:c r="L330" s="3" t="str">
        <x:v>/Users/yuntzuyu/Downloads/e-loan/Year/E-loan YYYY_XPO 2025.xls</x:v>
      </x:c>
    </x:row>
    <x:row r="331" ht="25" customHeight="1">
      <x:c r="A331" s="3" t="str">
        <x:v>XPO, INC.</x:v>
      </x:c>
      <x:c r="B331" s="3" t="str">
        <x:v>2023-01-01~2023-12-31</x:v>
      </x:c>
      <x:c r="C331" s="3" t="str">
        <x:v>2023-12-31</x:v>
      </x:c>
      <x:c r="D331" s="3" t="str">
        <x:v>Total debt</x:v>
      </x:c>
      <x:c r="E331" s="6" t="n">
        <x:f>'計算底稿'!L35</x:f>
        <x:v>3150</x:v>
      </x:c>
      <x:c r="F331" s="3" t="str">
        <x:v>USD  million</x:v>
      </x:c>
      <x:c r="G331" s="3" t="str">
        <x:v>推算值／列示項目小計</x:v>
      </x:c>
      <x:c r="H331" s="3" t="str">
        <x:v>Report1!I41, Report1!I43, Report1!I55, Report1!I56</x:v>
      </x:c>
      <x:c r="I331" s="3" t="str">
        <x:v>短期借款＋一年內到期長債＋長期銀行借款＋公司債</x:v>
      </x:c>
      <x:c r="J331" s="3" t="str">
        <x:v>計算底稿!L35</x:v>
      </x:c>
      <x:c r="K331" s="3" t="str">
        <x:v>空白項未計入；租賃等未另加，非契約確認總債務。</x:v>
      </x:c>
      <x:c r="L331" s="3" t="str">
        <x:v>/Users/yuntzuyu/Downloads/e-loan/Year/E-loan YYYY_XPO 2025.xls</x:v>
      </x:c>
    </x:row>
    <x:row r="332" ht="25" customHeight="1">
      <x:c r="A332" s="3" t="str">
        <x:v>XPO, INC.</x:v>
      </x:c>
      <x:c r="B332" s="3" t="str">
        <x:v>2023-01-01~2023-12-31</x:v>
      </x:c>
      <x:c r="C332" s="3" t="str">
        <x:v>2023-12-31</x:v>
      </x:c>
      <x:c r="D332" s="3" t="str">
        <x:v>EBITDA（報表口徑）</x:v>
      </x:c>
      <x:c r="E332" s="6" t="n">
        <x:f>'計算底稿'!M35</x:f>
        <x:v>860</x:v>
      </x:c>
      <x:c r="F332" s="3" t="str">
        <x:v>USD  million</x:v>
      </x:c>
      <x:c r="G332" s="3" t="str">
        <x:v>推算值</x:v>
      </x:c>
      <x:c r="H332" s="3" t="str">
        <x:v>Report1!I111, Report1!I106, Report1!I121, Report1!I201</x:v>
      </x:c>
      <x:c r="I332" s="3" t="str">
        <x:v>稅前損益＋利息費用＋折舊攤銷</x:v>
      </x:c>
      <x:c r="J332" s="3" t="str">
        <x:v>計算底稿!M35</x:v>
      </x:c>
      <x:c r="K332" s="3" t="str">
        <x:v>可重現原表EBITDA/Interest；含業外損益。</x:v>
      </x:c>
      <x:c r="L332" s="3" t="str">
        <x:v>/Users/yuntzuyu/Downloads/e-loan/Year/E-loan YYYY_XPO 2025.xls</x:v>
      </x:c>
    </x:row>
    <x:row r="333" ht="25" customHeight="1">
      <x:c r="A333" s="3" t="str">
        <x:v>XPO, INC.</x:v>
      </x:c>
      <x:c r="B333" s="3" t="str">
        <x:v>2023-01-01~2023-12-31</x:v>
      </x:c>
      <x:c r="C333" s="3" t="str">
        <x:v>2023-12-31</x:v>
      </x:c>
      <x:c r="D333" s="3" t="str">
        <x:v>EBITDA basis</x:v>
      </x:c>
      <x:c r="E333" s="3" t="str">
        <x:v>稅前損益＋利息＋折舊攤銷</x:v>
      </x:c>
      <x:c r="F333" s="3" t="str">
        <x:v>文字</x:v>
      </x:c>
      <x:c r="G333" s="3" t="str">
        <x:v>口徑說明</x:v>
      </x:c>
      <x:c r="H333" s="3" t="str">
        <x:v>Report1!I111, Report1!I106, Report1!I121</x:v>
      </x:c>
      <x:c r="I333" s="3" t="str">
        <x:v>稅前損益＋利息費用＋折舊攤銷</x:v>
      </x:c>
      <x:c r="J333" s="3" t="str">
        <x:v>計算底稿!M35</x:v>
      </x:c>
      <x:c r="K333" s="3" t="str">
        <x:v>本列為文字定義；不代表Adjusted或契約EBITDA。</x:v>
      </x:c>
      <x:c r="L333" s="3" t="str">
        <x:v>/Users/yuntzuyu/Downloads/e-loan/Year/E-loan YYYY_XPO 2025.xls</x:v>
      </x:c>
    </x:row>
    <x:row r="334" ht="25" customHeight="1">
      <x:c r="A334" s="3" t="str">
        <x:v>XPO, INC.</x:v>
      </x:c>
      <x:c r="B334" s="3" t="str">
        <x:v>2023-01-01~2023-12-31</x:v>
      </x:c>
      <x:c r="C334" s="3" t="str">
        <x:v>2023-12-31</x:v>
      </x:c>
      <x:c r="D334" s="3" t="str">
        <x:v>LTM EBITDA</x:v>
      </x:c>
      <x:c r="E334" s="6" t="n">
        <x:f>'計算底稿'!P35</x:f>
        <x:v>860</x:v>
      </x:c>
      <x:c r="F334" s="3" t="str">
        <x:v>USD  million</x:v>
      </x:c>
      <x:c r="G334" s="3" t="str">
        <x:v>推算值</x:v>
      </x:c>
      <x:c r="H334" s="3" t="str">
        <x:v>Report1!I111, Report1!I106, Report1!I121</x:v>
      </x:c>
      <x:c r="I334" s="3" t="str">
        <x:v>全年：當年EBITDA；期中：前全年＋本YTD−前YTD</x:v>
      </x:c>
      <x:c r="J334" s="3" t="str">
        <x:v>計算底稿!P35</x:v>
      </x:c>
      <x:c r="K334" s="3" t="str">
        <x:v>期中缺前同期則資料不足；不採YTD×2或×4。</x:v>
      </x:c>
      <x:c r="L334" s="3" t="str">
        <x:v>/Users/yuntzuyu/Downloads/e-loan/Year/E-loan YYYY_XPO 2025.xls</x:v>
      </x:c>
    </x:row>
    <x:row r="335" ht="25" customHeight="1">
      <x:c r="A335" s="3" t="str">
        <x:v>XPO, INC.</x:v>
      </x:c>
      <x:c r="B335" s="3" t="str">
        <x:v>2023-01-01~2023-12-31</x:v>
      </x:c>
      <x:c r="C335" s="3" t="str">
        <x:v>2023-12-31</x:v>
      </x:c>
      <x:c r="D335" s="3" t="str">
        <x:v>Total leverage ratio</x:v>
      </x:c>
      <x:c r="E335" s="8" t="n">
        <x:f>'計算底稿'!Q35</x:f>
        <x:v>3.6627906976744184</x:v>
      </x:c>
      <x:c r="F335" s="3" t="str">
        <x:v>倍</x:v>
      </x:c>
      <x:c r="G335" s="3" t="str">
        <x:v>推算值／非契約倍數</x:v>
      </x:c>
      <x:c r="H335" s="3" t="str">
        <x:v>Report1!I41, Report1!I43, Report1!I55, Report1!I56, Report1!I111, Report1!I106, Report1!I121</x:v>
      </x:c>
      <x:c r="I335" s="3" t="str">
        <x:v>期末列示債務合計÷LTM EBITDA</x:v>
      </x:c>
      <x:c r="J335" s="3" t="str">
        <x:v>計算底稿!Q35</x:v>
      </x:c>
      <x:c r="K335" s="3" t="str">
        <x:v>未扣現金；不含未辨識租賃；EBITDA≤0時標示不具意義。</x:v>
      </x:c>
      <x:c r="L335" s="3" t="str">
        <x:v>/Users/yuntzuyu/Downloads/e-loan/Year/E-loan YYYY_XPO 2025.xls</x:v>
      </x:c>
    </x:row>
    <x:row r="336" ht="25" customHeight="1">
      <x:c r="A336" s="3" t="str">
        <x:v>XPO, INC.</x:v>
      </x:c>
      <x:c r="B336" s="3" t="str">
        <x:v>2024-01-01~2024-12-31</x:v>
      </x:c>
      <x:c r="C336" s="3" t="str">
        <x:v>2024-12-31</x:v>
      </x:c>
      <x:c r="D336" s="3" t="str">
        <x:v>Cost of revenues</x:v>
      </x:c>
      <x:c r="E336" s="6" t="n">
        <x:f>'計算底稿'!F36</x:f>
        <x:v>3780</x:v>
      </x:c>
      <x:c r="F336" s="3" t="str">
        <x:v>USD  million</x:v>
      </x:c>
      <x:c r="G336" s="3" t="str">
        <x:v>原始報表數字</x:v>
      </x:c>
      <x:c r="H336" s="3" t="str">
        <x:v>Report1!M86</x:v>
      </x:c>
      <x:c r="I336" s="3" t="str">
        <x:v>營收−毛利（驗算）</x:v>
      </x:c>
      <x:c r="J336" s="3" t="str">
        <x:v>計算底稿!F36</x:v>
      </x:c>
      <x:c r="K336" s="3" t="str">
        <x:v>對應Operating Cost/COGS；缺成本細項。</x:v>
      </x:c>
      <x:c r="L336" s="3" t="str">
        <x:v>/Users/yuntzuyu/Downloads/e-loan/Year/E-loan YYYY_XPO 2025.xls</x:v>
      </x:c>
    </x:row>
    <x:row r="337" ht="25" customHeight="1">
      <x:c r="A337" s="3" t="str">
        <x:v>XPO, INC.</x:v>
      </x:c>
      <x:c r="B337" s="3" t="str">
        <x:v>2024-01-01~2024-12-31</x:v>
      </x:c>
      <x:c r="C337" s="3" t="str">
        <x:v>2024-12-31</x:v>
      </x:c>
      <x:c r="D337" s="3" t="str">
        <x:v>Gross profit</x:v>
      </x:c>
      <x:c r="E337" s="6" t="n">
        <x:f>'計算底稿'!G36</x:f>
        <x:v>4292</x:v>
      </x:c>
      <x:c r="F337" s="3" t="str">
        <x:v>USD  million</x:v>
      </x:c>
      <x:c r="G337" s="3" t="str">
        <x:v>原始報表數字</x:v>
      </x:c>
      <x:c r="H337" s="3" t="str">
        <x:v>Report1!M94, Report1!M80, Report1!M86</x:v>
      </x:c>
      <x:c r="I337" s="3" t="str">
        <x:v>營收−營收成本</x:v>
      </x:c>
      <x:c r="J337" s="3" t="str">
        <x:v>計算底稿!G36</x:v>
      </x:c>
      <x:c r="K337" s="3" t="str">
        <x:v>原值與驗算一致。</x:v>
      </x:c>
      <x:c r="L337" s="3" t="str">
        <x:v>/Users/yuntzuyu/Downloads/e-loan/Year/E-loan YYYY_XPO 2025.xls</x:v>
      </x:c>
    </x:row>
    <x:row r="338" ht="25" customHeight="1">
      <x:c r="A338" s="3" t="str">
        <x:v>XPO, INC.</x:v>
      </x:c>
      <x:c r="B338" s="3" t="str">
        <x:v>2024-01-01~2024-12-31</x:v>
      </x:c>
      <x:c r="C338" s="3" t="str">
        <x:v>2024-12-31</x:v>
      </x:c>
      <x:c r="D338" s="3" t="str">
        <x:v>Operating expense</x:v>
      </x:c>
      <x:c r="E338" s="6" t="n">
        <x:f>'計算底稿'!H36</x:f>
        <x:v>3633</x:v>
      </x:c>
      <x:c r="F338" s="3" t="str">
        <x:v>USD  million</x:v>
      </x:c>
      <x:c r="G338" s="3" t="str">
        <x:v>原始報表數字</x:v>
      </x:c>
      <x:c r="H338" s="3" t="str">
        <x:v>Report1!M96, Report1!M94, Report1!M97</x:v>
      </x:c>
      <x:c r="I338" s="3" t="str">
        <x:v>毛利−營業利益（驗算）</x:v>
      </x:c>
      <x:c r="J338" s="3" t="str">
        <x:v>計算底稿!H36</x:v>
      </x:c>
      <x:c r="K338" s="3" t="str">
        <x:v>缺銷管、研發、減損等細分。</x:v>
      </x:c>
      <x:c r="L338" s="3" t="str">
        <x:v>/Users/yuntzuyu/Downloads/e-loan/Year/E-loan YYYY_XPO 2025.xls</x:v>
      </x:c>
    </x:row>
    <x:row r="339" ht="25" customHeight="1">
      <x:c r="A339" s="3" t="str">
        <x:v>XPO, INC.</x:v>
      </x:c>
      <x:c r="B339" s="3" t="str">
        <x:v>2024-01-01~2024-12-31</x:v>
      </x:c>
      <x:c r="C339" s="3" t="str">
        <x:v>2024-12-31</x:v>
      </x:c>
      <x:c r="D339" s="3" t="str">
        <x:v>Interest expense</x:v>
      </x:c>
      <x:c r="E339" s="6" t="n">
        <x:f>'計算底稿'!I36</x:f>
        <x:v>223</x:v>
      </x:c>
      <x:c r="F339" s="3" t="str">
        <x:v>USD  million</x:v>
      </x:c>
      <x:c r="G339" s="3" t="str">
        <x:v>原始報表數字</x:v>
      </x:c>
      <x:c r="H339" s="3" t="str">
        <x:v>Report1!M106</x:v>
      </x:c>
      <x:c r="I339" s="3" t="str">
        <x:v>直接取原報表第106列</x:v>
      </x:c>
      <x:c r="J339" s="3" t="str">
        <x:v>計算底稿!I36</x:v>
      </x:c>
      <x:c r="K339" s="3" t="str">
        <x:v>屬應計費用；不是現金付息，也不以期末債務×利率替代。</x:v>
      </x:c>
      <x:c r="L339" s="3" t="str">
        <x:v>/Users/yuntzuyu/Downloads/e-loan/Year/E-loan YYYY_XPO 2025.xls</x:v>
      </x:c>
    </x:row>
    <x:row r="340" ht="25" customHeight="1">
      <x:c r="A340" s="3" t="str">
        <x:v>XPO, INC.</x:v>
      </x:c>
      <x:c r="B340" s="3" t="str">
        <x:v>2024-01-01~2024-12-31</x:v>
      </x:c>
      <x:c r="C340" s="3" t="str">
        <x:v>2024-12-31</x:v>
      </x:c>
      <x:c r="D340" s="3" t="str">
        <x:v>Quick ratio</x:v>
      </x:c>
      <x:c r="E340" s="7" t="n">
        <x:f>'計算底稿'!J36</x:f>
        <x:v>0.8613</x:v>
      </x:c>
      <x:c r="F340" s="3" t="str">
        <x:v>%</x:v>
      </x:c>
      <x:c r="G340" s="3" t="str">
        <x:v>原始報表數字</x:v>
      </x:c>
      <x:c r="H340" s="3" t="str">
        <x:v>Report1!M198, Report1!M11, Report1!M12, Report1!M13, Report1!M40</x:v>
      </x:c>
      <x:c r="I340" s="3" t="str">
        <x:v>(現金＋流動金融資產＋應收款項)÷流動負債</x:v>
      </x:c>
      <x:c r="J340" s="3" t="str">
        <x:v>計算底稿!J36</x:v>
      </x:c>
      <x:c r="K340" s="3" t="str">
        <x:v>原值為百分比；非直接以流動資產扣存貨。</x:v>
      </x:c>
      <x:c r="L340" s="3" t="str">
        <x:v>/Users/yuntzuyu/Downloads/e-loan/Year/E-loan YYYY_XPO 2025.xls</x:v>
      </x:c>
    </x:row>
    <x:row r="341" ht="25" customHeight="1">
      <x:c r="A341" s="3" t="str">
        <x:v>XPO, INC.</x:v>
      </x:c>
      <x:c r="B341" s="3" t="str">
        <x:v>2024-01-01~2024-12-31</x:v>
      </x:c>
      <x:c r="C341" s="3" t="str">
        <x:v>2024-12-31</x:v>
      </x:c>
      <x:c r="D341" s="3" t="str">
        <x:v>Debt ratio</x:v>
      </x:c>
      <x:c r="E341" s="7" t="n">
        <x:f>'計算底稿'!K36</x:f>
        <x:v>3.82</x:v>
      </x:c>
      <x:c r="F341" s="3" t="str">
        <x:v>%</x:v>
      </x:c>
      <x:c r="G341" s="3" t="str">
        <x:v>原始報表數字</x:v>
      </x:c>
      <x:c r="H341" s="3" t="str">
        <x:v>Report1!M203, Report1!M62, Report1!M70</x:v>
      </x:c>
      <x:c r="I341" s="3" t="str">
        <x:v>總負債÷淨值</x:v>
      </x:c>
      <x:c r="J341" s="3" t="str">
        <x:v>計算底稿!K36</x:v>
      </x:c>
      <x:c r="K341" s="3" t="str">
        <x:v>實際為負債淨值比；非負債資產比，亦非有息債務比。</x:v>
      </x:c>
      <x:c r="L341" s="3" t="str">
        <x:v>/Users/yuntzuyu/Downloads/e-loan/Year/E-loan YYYY_XPO 2025.xls</x:v>
      </x:c>
    </x:row>
    <x:row r="342" ht="25" customHeight="1">
      <x:c r="A342" s="3" t="str">
        <x:v>XPO, INC.</x:v>
      </x:c>
      <x:c r="B342" s="3" t="str">
        <x:v>2024-01-01~2024-12-31</x:v>
      </x:c>
      <x:c r="C342" s="3" t="str">
        <x:v>2024-12-31</x:v>
      </x:c>
      <x:c r="D342" s="3" t="str">
        <x:v>Total debt</x:v>
      </x:c>
      <x:c r="E342" s="6" t="n">
        <x:f>'計算底稿'!L36</x:f>
        <x:v>3158</x:v>
      </x:c>
      <x:c r="F342" s="3" t="str">
        <x:v>USD  million</x:v>
      </x:c>
      <x:c r="G342" s="3" t="str">
        <x:v>推算值／列示項目小計</x:v>
      </x:c>
      <x:c r="H342" s="3" t="str">
        <x:v>Report1!M41, Report1!M43, Report1!M55, Report1!M56</x:v>
      </x:c>
      <x:c r="I342" s="3" t="str">
        <x:v>短期借款＋一年內到期長債＋長期銀行借款＋公司債</x:v>
      </x:c>
      <x:c r="J342" s="3" t="str">
        <x:v>計算底稿!L36</x:v>
      </x:c>
      <x:c r="K342" s="3" t="str">
        <x:v>空白項未計入；租賃等未另加，非契約確認總債務。</x:v>
      </x:c>
      <x:c r="L342" s="3" t="str">
        <x:v>/Users/yuntzuyu/Downloads/e-loan/Year/E-loan YYYY_XPO 2025.xls</x:v>
      </x:c>
    </x:row>
    <x:row r="343" ht="25" customHeight="1">
      <x:c r="A343" s="3" t="str">
        <x:v>XPO, INC.</x:v>
      </x:c>
      <x:c r="B343" s="3" t="str">
        <x:v>2024-01-01~2024-12-31</x:v>
      </x:c>
      <x:c r="C343" s="3" t="str">
        <x:v>2024-12-31</x:v>
      </x:c>
      <x:c r="D343" s="3" t="str">
        <x:v>EBITDA（報表口徑）</x:v>
      </x:c>
      <x:c r="E343" s="6" t="n">
        <x:f>'計算底稿'!M36</x:f>
        <x:v>1186</x:v>
      </x:c>
      <x:c r="F343" s="3" t="str">
        <x:v>USD  million</x:v>
      </x:c>
      <x:c r="G343" s="3" t="str">
        <x:v>推算值</x:v>
      </x:c>
      <x:c r="H343" s="3" t="str">
        <x:v>Report1!M111, Report1!M106, Report1!M121, Report1!M201</x:v>
      </x:c>
      <x:c r="I343" s="3" t="str">
        <x:v>稅前損益＋利息費用＋折舊攤銷</x:v>
      </x:c>
      <x:c r="J343" s="3" t="str">
        <x:v>計算底稿!M36</x:v>
      </x:c>
      <x:c r="K343" s="3" t="str">
        <x:v>可重現原表EBITDA/Interest；含業外損益。</x:v>
      </x:c>
      <x:c r="L343" s="3" t="str">
        <x:v>/Users/yuntzuyu/Downloads/e-loan/Year/E-loan YYYY_XPO 2025.xls</x:v>
      </x:c>
    </x:row>
    <x:row r="344" ht="25" customHeight="1">
      <x:c r="A344" s="3" t="str">
        <x:v>XPO, INC.</x:v>
      </x:c>
      <x:c r="B344" s="3" t="str">
        <x:v>2024-01-01~2024-12-31</x:v>
      </x:c>
      <x:c r="C344" s="3" t="str">
        <x:v>2024-12-31</x:v>
      </x:c>
      <x:c r="D344" s="3" t="str">
        <x:v>EBITDA basis</x:v>
      </x:c>
      <x:c r="E344" s="3" t="str">
        <x:v>稅前損益＋利息＋折舊攤銷</x:v>
      </x:c>
      <x:c r="F344" s="3" t="str">
        <x:v>文字</x:v>
      </x:c>
      <x:c r="G344" s="3" t="str">
        <x:v>口徑說明</x:v>
      </x:c>
      <x:c r="H344" s="3" t="str">
        <x:v>Report1!M111, Report1!M106, Report1!M121</x:v>
      </x:c>
      <x:c r="I344" s="3" t="str">
        <x:v>稅前損益＋利息費用＋折舊攤銷</x:v>
      </x:c>
      <x:c r="J344" s="3" t="str">
        <x:v>計算底稿!M36</x:v>
      </x:c>
      <x:c r="K344" s="3" t="str">
        <x:v>本列為文字定義；不代表Adjusted或契約EBITDA。</x:v>
      </x:c>
      <x:c r="L344" s="3" t="str">
        <x:v>/Users/yuntzuyu/Downloads/e-loan/Year/E-loan YYYY_XPO 2025.xls</x:v>
      </x:c>
    </x:row>
    <x:row r="345" ht="25" customHeight="1">
      <x:c r="A345" s="3" t="str">
        <x:v>XPO, INC.</x:v>
      </x:c>
      <x:c r="B345" s="3" t="str">
        <x:v>2024-01-01~2024-12-31</x:v>
      </x:c>
      <x:c r="C345" s="3" t="str">
        <x:v>2024-12-31</x:v>
      </x:c>
      <x:c r="D345" s="3" t="str">
        <x:v>LTM EBITDA</x:v>
      </x:c>
      <x:c r="E345" s="6" t="n">
        <x:f>'計算底稿'!P36</x:f>
        <x:v>1186</x:v>
      </x:c>
      <x:c r="F345" s="3" t="str">
        <x:v>USD  million</x:v>
      </x:c>
      <x:c r="G345" s="3" t="str">
        <x:v>推算值</x:v>
      </x:c>
      <x:c r="H345" s="3" t="str">
        <x:v>Report1!M111, Report1!M106, Report1!M121</x:v>
      </x:c>
      <x:c r="I345" s="3" t="str">
        <x:v>全年：當年EBITDA；期中：前全年＋本YTD−前YTD</x:v>
      </x:c>
      <x:c r="J345" s="3" t="str">
        <x:v>計算底稿!P36</x:v>
      </x:c>
      <x:c r="K345" s="3" t="str">
        <x:v>期中缺前同期則資料不足；不採YTD×2或×4。</x:v>
      </x:c>
      <x:c r="L345" s="3" t="str">
        <x:v>/Users/yuntzuyu/Downloads/e-loan/Year/E-loan YYYY_XPO 2025.xls</x:v>
      </x:c>
    </x:row>
    <x:row r="346" ht="25" customHeight="1">
      <x:c r="A346" s="3" t="str">
        <x:v>XPO, INC.</x:v>
      </x:c>
      <x:c r="B346" s="3" t="str">
        <x:v>2024-01-01~2024-12-31</x:v>
      </x:c>
      <x:c r="C346" s="3" t="str">
        <x:v>2024-12-31</x:v>
      </x:c>
      <x:c r="D346" s="3" t="str">
        <x:v>Total leverage ratio</x:v>
      </x:c>
      <x:c r="E346" s="8" t="n">
        <x:f>'計算底稿'!Q36</x:f>
        <x:v>2.6627318718381114</x:v>
      </x:c>
      <x:c r="F346" s="3" t="str">
        <x:v>倍</x:v>
      </x:c>
      <x:c r="G346" s="3" t="str">
        <x:v>推算值／非契約倍數</x:v>
      </x:c>
      <x:c r="H346" s="3" t="str">
        <x:v>Report1!M41, Report1!M43, Report1!M55, Report1!M56, Report1!M111, Report1!M106, Report1!M121</x:v>
      </x:c>
      <x:c r="I346" s="3" t="str">
        <x:v>期末列示債務合計÷LTM EBITDA</x:v>
      </x:c>
      <x:c r="J346" s="3" t="str">
        <x:v>計算底稿!Q36</x:v>
      </x:c>
      <x:c r="K346" s="3" t="str">
        <x:v>未扣現金；不含未辨識租賃；EBITDA≤0時標示不具意義。</x:v>
      </x:c>
      <x:c r="L346" s="3" t="str">
        <x:v>/Users/yuntzuyu/Downloads/e-loan/Year/E-loan YYYY_XPO 2025.xls</x:v>
      </x:c>
    </x:row>
    <x:row r="347" ht="25" customHeight="1">
      <x:c r="A347" s="3" t="str">
        <x:v>XPO, INC.</x:v>
      </x:c>
      <x:c r="B347" s="3" t="str">
        <x:v>2025-01-01~2025-12-31</x:v>
      </x:c>
      <x:c r="C347" s="3" t="str">
        <x:v>2025-12-31</x:v>
      </x:c>
      <x:c r="D347" s="3" t="str">
        <x:v>Cost of revenues</x:v>
      </x:c>
      <x:c r="E347" s="6" t="n">
        <x:f>'計算底稿'!F37</x:f>
        <x:v>3754</x:v>
      </x:c>
      <x:c r="F347" s="3" t="str">
        <x:v>USD  million</x:v>
      </x:c>
      <x:c r="G347" s="3" t="str">
        <x:v>原始報表數字</x:v>
      </x:c>
      <x:c r="H347" s="3" t="str">
        <x:v>Report1!R86</x:v>
      </x:c>
      <x:c r="I347" s="3" t="str">
        <x:v>營收−毛利（驗算）</x:v>
      </x:c>
      <x:c r="J347" s="3" t="str">
        <x:v>計算底稿!F37</x:v>
      </x:c>
      <x:c r="K347" s="3" t="str">
        <x:v>對應Operating Cost/COGS；缺成本細項。</x:v>
      </x:c>
      <x:c r="L347" s="3" t="str">
        <x:v>/Users/yuntzuyu/Downloads/e-loan/Year/E-loan YYYY_XPO 2025.xls</x:v>
      </x:c>
    </x:row>
    <x:row r="348" ht="25" customHeight="1">
      <x:c r="A348" s="3" t="str">
        <x:v>XPO, INC.</x:v>
      </x:c>
      <x:c r="B348" s="3" t="str">
        <x:v>2025-01-01~2025-12-31</x:v>
      </x:c>
      <x:c r="C348" s="3" t="str">
        <x:v>2025-12-31</x:v>
      </x:c>
      <x:c r="D348" s="3" t="str">
        <x:v>Gross profit</x:v>
      </x:c>
      <x:c r="E348" s="6" t="n">
        <x:f>'計算底稿'!G37</x:f>
        <x:v>4403</x:v>
      </x:c>
      <x:c r="F348" s="3" t="str">
        <x:v>USD  million</x:v>
      </x:c>
      <x:c r="G348" s="3" t="str">
        <x:v>原始報表數字</x:v>
      </x:c>
      <x:c r="H348" s="3" t="str">
        <x:v>Report1!R94, Report1!R80, Report1!R86</x:v>
      </x:c>
      <x:c r="I348" s="3" t="str">
        <x:v>營收−營收成本</x:v>
      </x:c>
      <x:c r="J348" s="3" t="str">
        <x:v>計算底稿!G37</x:v>
      </x:c>
      <x:c r="K348" s="3" t="str">
        <x:v>原值與驗算一致。</x:v>
      </x:c>
      <x:c r="L348" s="3" t="str">
        <x:v>/Users/yuntzuyu/Downloads/e-loan/Year/E-loan YYYY_XPO 2025.xls</x:v>
      </x:c>
    </x:row>
    <x:row r="349" ht="25" customHeight="1">
      <x:c r="A349" s="3" t="str">
        <x:v>XPO, INC.</x:v>
      </x:c>
      <x:c r="B349" s="3" t="str">
        <x:v>2025-01-01~2025-12-31</x:v>
      </x:c>
      <x:c r="C349" s="3" t="str">
        <x:v>2025-12-31</x:v>
      </x:c>
      <x:c r="D349" s="3" t="str">
        <x:v>Operating expense</x:v>
      </x:c>
      <x:c r="E349" s="6" t="n">
        <x:f>'計算底稿'!H37</x:f>
        <x:v>3747</x:v>
      </x:c>
      <x:c r="F349" s="3" t="str">
        <x:v>USD  million</x:v>
      </x:c>
      <x:c r="G349" s="3" t="str">
        <x:v>原始報表數字</x:v>
      </x:c>
      <x:c r="H349" s="3" t="str">
        <x:v>Report1!R96, Report1!R94, Report1!R97</x:v>
      </x:c>
      <x:c r="I349" s="3" t="str">
        <x:v>毛利−營業利益（驗算）</x:v>
      </x:c>
      <x:c r="J349" s="3" t="str">
        <x:v>計算底稿!H37</x:v>
      </x:c>
      <x:c r="K349" s="3" t="str">
        <x:v>缺銷管、研發、減損等細分。</x:v>
      </x:c>
      <x:c r="L349" s="3" t="str">
        <x:v>/Users/yuntzuyu/Downloads/e-loan/Year/E-loan YYYY_XPO 2025.xls</x:v>
      </x:c>
    </x:row>
    <x:row r="350" ht="25" customHeight="1">
      <x:c r="A350" s="3" t="str">
        <x:v>XPO, INC.</x:v>
      </x:c>
      <x:c r="B350" s="3" t="str">
        <x:v>2025-01-01~2025-12-31</x:v>
      </x:c>
      <x:c r="C350" s="3" t="str">
        <x:v>2025-12-31</x:v>
      </x:c>
      <x:c r="D350" s="3" t="str">
        <x:v>Interest expense</x:v>
      </x:c>
      <x:c r="E350" s="6" t="n">
        <x:f>'計算底稿'!I37</x:f>
        <x:v>219</x:v>
      </x:c>
      <x:c r="F350" s="3" t="str">
        <x:v>USD  million</x:v>
      </x:c>
      <x:c r="G350" s="3" t="str">
        <x:v>原始報表數字</x:v>
      </x:c>
      <x:c r="H350" s="3" t="str">
        <x:v>Report1!R106</x:v>
      </x:c>
      <x:c r="I350" s="3" t="str">
        <x:v>直接取原報表第106列</x:v>
      </x:c>
      <x:c r="J350" s="3" t="str">
        <x:v>計算底稿!I37</x:v>
      </x:c>
      <x:c r="K350" s="3" t="str">
        <x:v>屬應計費用；不是現金付息，也不以期末債務×利率替代。</x:v>
      </x:c>
      <x:c r="L350" s="3" t="str">
        <x:v>/Users/yuntzuyu/Downloads/e-loan/Year/E-loan YYYY_XPO 2025.xls</x:v>
      </x:c>
    </x:row>
    <x:row r="351" ht="25" customHeight="1">
      <x:c r="A351" s="3" t="str">
        <x:v>XPO, INC.</x:v>
      </x:c>
      <x:c r="B351" s="3" t="str">
        <x:v>2025-01-01~2025-12-31</x:v>
      </x:c>
      <x:c r="C351" s="3" t="str">
        <x:v>2025-12-31</x:v>
      </x:c>
      <x:c r="D351" s="3" t="str">
        <x:v>Quick ratio</x:v>
      </x:c>
      <x:c r="E351" s="7" t="n">
        <x:f>'計算底稿'!J37</x:f>
        <x:v>0.865</x:v>
      </x:c>
      <x:c r="F351" s="3" t="str">
        <x:v>%</x:v>
      </x:c>
      <x:c r="G351" s="3" t="str">
        <x:v>原始報表數字</x:v>
      </x:c>
      <x:c r="H351" s="3" t="str">
        <x:v>Report1!R198, Report1!R11, Report1!R12, Report1!R13, Report1!R40</x:v>
      </x:c>
      <x:c r="I351" s="3" t="str">
        <x:v>(現金＋流動金融資產＋應收款項)÷流動負債</x:v>
      </x:c>
      <x:c r="J351" s="3" t="str">
        <x:v>計算底稿!J37</x:v>
      </x:c>
      <x:c r="K351" s="3" t="str">
        <x:v>原值為百分比；非直接以流動資產扣存貨。</x:v>
      </x:c>
      <x:c r="L351" s="3" t="str">
        <x:v>/Users/yuntzuyu/Downloads/e-loan/Year/E-loan YYYY_XPO 2025.xls</x:v>
      </x:c>
    </x:row>
    <x:row r="352" ht="25" customHeight="1">
      <x:c r="A352" s="3" t="str">
        <x:v>XPO, INC.</x:v>
      </x:c>
      <x:c r="B352" s="3" t="str">
        <x:v>2025-01-01~2025-12-31</x:v>
      </x:c>
      <x:c r="C352" s="3" t="str">
        <x:v>2025-12-31</x:v>
      </x:c>
      <x:c r="D352" s="3" t="str">
        <x:v>Debt ratio</x:v>
      </x:c>
      <x:c r="E352" s="7" t="n">
        <x:f>'計算底稿'!K37</x:f>
        <x:v>3.403</x:v>
      </x:c>
      <x:c r="F352" s="3" t="str">
        <x:v>%</x:v>
      </x:c>
      <x:c r="G352" s="3" t="str">
        <x:v>原始報表數字</x:v>
      </x:c>
      <x:c r="H352" s="3" t="str">
        <x:v>Report1!R203, Report1!R62, Report1!R70</x:v>
      </x:c>
      <x:c r="I352" s="3" t="str">
        <x:v>總負債÷淨值</x:v>
      </x:c>
      <x:c r="J352" s="3" t="str">
        <x:v>計算底稿!K37</x:v>
      </x:c>
      <x:c r="K352" s="3" t="str">
        <x:v>實際為負債淨值比；非負債資產比，亦非有息債務比。</x:v>
      </x:c>
      <x:c r="L352" s="3" t="str">
        <x:v>/Users/yuntzuyu/Downloads/e-loan/Year/E-loan YYYY_XPO 2025.xls</x:v>
      </x:c>
    </x:row>
    <x:row r="353" ht="25" customHeight="1">
      <x:c r="A353" s="3" t="str">
        <x:v>XPO, INC.</x:v>
      </x:c>
      <x:c r="B353" s="3" t="str">
        <x:v>2025-01-01~2025-12-31</x:v>
      </x:c>
      <x:c r="C353" s="3" t="str">
        <x:v>2025-12-31</x:v>
      </x:c>
      <x:c r="D353" s="3" t="str">
        <x:v>Total debt</x:v>
      </x:c>
      <x:c r="E353" s="6" t="n">
        <x:f>'計算底稿'!L37</x:f>
        <x:v>3056</x:v>
      </x:c>
      <x:c r="F353" s="3" t="str">
        <x:v>USD  million</x:v>
      </x:c>
      <x:c r="G353" s="3" t="str">
        <x:v>推算值／列示項目小計</x:v>
      </x:c>
      <x:c r="H353" s="3" t="str">
        <x:v>Report1!R41, Report1!R43, Report1!R55, Report1!R56</x:v>
      </x:c>
      <x:c r="I353" s="3" t="str">
        <x:v>短期借款＋一年內到期長債＋長期銀行借款＋公司債</x:v>
      </x:c>
      <x:c r="J353" s="3" t="str">
        <x:v>計算底稿!L37</x:v>
      </x:c>
      <x:c r="K353" s="3" t="str">
        <x:v>空白項未計入；租賃等未另加，非契約確認總債務。</x:v>
      </x:c>
      <x:c r="L353" s="3" t="str">
        <x:v>/Users/yuntzuyu/Downloads/e-loan/Year/E-loan YYYY_XPO 2025.xls</x:v>
      </x:c>
    </x:row>
    <x:row r="354" ht="25" customHeight="1">
      <x:c r="A354" s="3" t="str">
        <x:v>XPO, INC.</x:v>
      </x:c>
      <x:c r="B354" s="3" t="str">
        <x:v>2025-01-01~2025-12-31</x:v>
      </x:c>
      <x:c r="C354" s="3" t="str">
        <x:v>2025-12-31</x:v>
      </x:c>
      <x:c r="D354" s="3" t="str">
        <x:v>EBITDA（報表口徑）</x:v>
      </x:c>
      <x:c r="E354" s="6" t="n">
        <x:f>'計算底稿'!M37</x:f>
        <x:v>1177</x:v>
      </x:c>
      <x:c r="F354" s="3" t="str">
        <x:v>USD  million</x:v>
      </x:c>
      <x:c r="G354" s="3" t="str">
        <x:v>推算值</x:v>
      </x:c>
      <x:c r="H354" s="3" t="str">
        <x:v>Report1!R111, Report1!R106, Report1!R121, Report1!R201</x:v>
      </x:c>
      <x:c r="I354" s="3" t="str">
        <x:v>稅前損益＋利息費用＋折舊攤銷</x:v>
      </x:c>
      <x:c r="J354" s="3" t="str">
        <x:v>計算底稿!M37</x:v>
      </x:c>
      <x:c r="K354" s="3" t="str">
        <x:v>可重現原表EBITDA/Interest；含業外損益。</x:v>
      </x:c>
      <x:c r="L354" s="3" t="str">
        <x:v>/Users/yuntzuyu/Downloads/e-loan/Year/E-loan YYYY_XPO 2025.xls</x:v>
      </x:c>
    </x:row>
    <x:row r="355" ht="25" customHeight="1">
      <x:c r="A355" s="3" t="str">
        <x:v>XPO, INC.</x:v>
      </x:c>
      <x:c r="B355" s="3" t="str">
        <x:v>2025-01-01~2025-12-31</x:v>
      </x:c>
      <x:c r="C355" s="3" t="str">
        <x:v>2025-12-31</x:v>
      </x:c>
      <x:c r="D355" s="3" t="str">
        <x:v>EBITDA basis</x:v>
      </x:c>
      <x:c r="E355" s="3" t="str">
        <x:v>稅前損益＋利息＋折舊攤銷</x:v>
      </x:c>
      <x:c r="F355" s="3" t="str">
        <x:v>文字</x:v>
      </x:c>
      <x:c r="G355" s="3" t="str">
        <x:v>口徑說明</x:v>
      </x:c>
      <x:c r="H355" s="3" t="str">
        <x:v>Report1!R111, Report1!R106, Report1!R121</x:v>
      </x:c>
      <x:c r="I355" s="3" t="str">
        <x:v>稅前損益＋利息費用＋折舊攤銷</x:v>
      </x:c>
      <x:c r="J355" s="3" t="str">
        <x:v>計算底稿!M37</x:v>
      </x:c>
      <x:c r="K355" s="3" t="str">
        <x:v>本列為文字定義；不代表Adjusted或契約EBITDA。</x:v>
      </x:c>
      <x:c r="L355" s="3" t="str">
        <x:v>/Users/yuntzuyu/Downloads/e-loan/Year/E-loan YYYY_XPO 2025.xls</x:v>
      </x:c>
    </x:row>
    <x:row r="356" ht="25" customHeight="1">
      <x:c r="A356" s="3" t="str">
        <x:v>XPO, INC.</x:v>
      </x:c>
      <x:c r="B356" s="3" t="str">
        <x:v>2025-01-01~2025-12-31</x:v>
      </x:c>
      <x:c r="C356" s="3" t="str">
        <x:v>2025-12-31</x:v>
      </x:c>
      <x:c r="D356" s="3" t="str">
        <x:v>LTM EBITDA</x:v>
      </x:c>
      <x:c r="E356" s="6" t="n">
        <x:f>'計算底稿'!P37</x:f>
        <x:v>1177</x:v>
      </x:c>
      <x:c r="F356" s="3" t="str">
        <x:v>USD  million</x:v>
      </x:c>
      <x:c r="G356" s="3" t="str">
        <x:v>推算值</x:v>
      </x:c>
      <x:c r="H356" s="3" t="str">
        <x:v>Report1!R111, Report1!R106, Report1!R121</x:v>
      </x:c>
      <x:c r="I356" s="3" t="str">
        <x:v>全年：當年EBITDA；期中：前全年＋本YTD−前YTD</x:v>
      </x:c>
      <x:c r="J356" s="3" t="str">
        <x:v>計算底稿!P37</x:v>
      </x:c>
      <x:c r="K356" s="3" t="str">
        <x:v>期中缺前同期則資料不足；不採YTD×2或×4。</x:v>
      </x:c>
      <x:c r="L356" s="3" t="str">
        <x:v>/Users/yuntzuyu/Downloads/e-loan/Year/E-loan YYYY_XPO 2025.xls</x:v>
      </x:c>
    </x:row>
    <x:row r="357" ht="25" customHeight="1">
      <x:c r="A357" s="3" t="str">
        <x:v>XPO, INC.</x:v>
      </x:c>
      <x:c r="B357" s="3" t="str">
        <x:v>2025-01-01~2025-12-31</x:v>
      </x:c>
      <x:c r="C357" s="3" t="str">
        <x:v>2025-12-31</x:v>
      </x:c>
      <x:c r="D357" s="3" t="str">
        <x:v>Total leverage ratio</x:v>
      </x:c>
      <x:c r="E357" s="8" t="n">
        <x:f>'計算底稿'!Q37</x:f>
        <x:v>2.5964316057774</x:v>
      </x:c>
      <x:c r="F357" s="3" t="str">
        <x:v>倍</x:v>
      </x:c>
      <x:c r="G357" s="3" t="str">
        <x:v>推算值／非契約倍數</x:v>
      </x:c>
      <x:c r="H357" s="3" t="str">
        <x:v>Report1!R41, Report1!R43, Report1!R55, Report1!R56, Report1!R111, Report1!R106, Report1!R121</x:v>
      </x:c>
      <x:c r="I357" s="3" t="str">
        <x:v>期末列示債務合計÷LTM EBITDA</x:v>
      </x:c>
      <x:c r="J357" s="3" t="str">
        <x:v>計算底稿!Q37</x:v>
      </x:c>
      <x:c r="K357" s="3" t="str">
        <x:v>未扣現金；不含未辨識租賃；EBITDA≤0時標示不具意義。</x:v>
      </x:c>
      <x:c r="L357" s="3" t="str">
        <x:v>/Users/yuntzuyu/Downloads/e-loan/Year/E-loan YYYY_XPO 2025.xls</x:v>
      </x:c>
    </x:row>
    <x:row r="358" ht="25" customHeight="1">
      <x:c r="A358" s="3" t="str">
        <x:v>CROCS, INC.</x:v>
      </x:c>
      <x:c r="B358" s="3" t="str">
        <x:v>2022-01-01~2022-12-31</x:v>
      </x:c>
      <x:c r="C358" s="3" t="str">
        <x:v>2022-12-31</x:v>
      </x:c>
      <x:c r="D358" s="3" t="str">
        <x:v>Cost of revenues</x:v>
      </x:c>
      <x:c r="E358" s="6" t="n">
        <x:f>'計算底稿'!F38</x:f>
        <x:v>1694703</x:v>
      </x:c>
      <x:c r="F358" s="3" t="str">
        <x:v>USD  thousand</x:v>
      </x:c>
      <x:c r="G358" s="3" t="str">
        <x:v>原始報表數字</x:v>
      </x:c>
      <x:c r="H358" s="3" t="str">
        <x:v>Report1!D86</x:v>
      </x:c>
      <x:c r="I358" s="3" t="str">
        <x:v>營收−毛利（驗算）</x:v>
      </x:c>
      <x:c r="J358" s="3" t="str">
        <x:v>計算底稿!F38</x:v>
      </x:c>
      <x:c r="K358" s="3" t="str">
        <x:v>對應Operating Cost/COGS；缺成本細項。</x:v>
      </x:c>
      <x:c r="L358" s="3" t="str">
        <x:v>/Users/yuntzuyu/Downloads/e-loan/Year/e-Loan YYYY-CROX 2025.xls</x:v>
      </x:c>
    </x:row>
    <x:row r="359" ht="25" customHeight="1">
      <x:c r="A359" s="3" t="str">
        <x:v>CROCS, INC.</x:v>
      </x:c>
      <x:c r="B359" s="3" t="str">
        <x:v>2022-01-01~2022-12-31</x:v>
      </x:c>
      <x:c r="C359" s="3" t="str">
        <x:v>2022-12-31</x:v>
      </x:c>
      <x:c r="D359" s="3" t="str">
        <x:v>Gross profit</x:v>
      </x:c>
      <x:c r="E359" s="6" t="n">
        <x:f>'計算底稿'!G38</x:f>
        <x:v>1860282</x:v>
      </x:c>
      <x:c r="F359" s="3" t="str">
        <x:v>USD  thousand</x:v>
      </x:c>
      <x:c r="G359" s="3" t="str">
        <x:v>原始報表數字</x:v>
      </x:c>
      <x:c r="H359" s="3" t="str">
        <x:v>Report1!D94, Report1!D80, Report1!D86</x:v>
      </x:c>
      <x:c r="I359" s="3" t="str">
        <x:v>營收−營收成本</x:v>
      </x:c>
      <x:c r="J359" s="3" t="str">
        <x:v>計算底稿!G38</x:v>
      </x:c>
      <x:c r="K359" s="3" t="str">
        <x:v>原值與驗算一致。</x:v>
      </x:c>
      <x:c r="L359" s="3" t="str">
        <x:v>/Users/yuntzuyu/Downloads/e-loan/Year/e-Loan YYYY-CROX 2025.xls</x:v>
      </x:c>
    </x:row>
    <x:row r="360" ht="25" customHeight="1">
      <x:c r="A360" s="3" t="str">
        <x:v>CROCS, INC.</x:v>
      </x:c>
      <x:c r="B360" s="3" t="str">
        <x:v>2022-01-01~2022-12-31</x:v>
      </x:c>
      <x:c r="C360" s="3" t="str">
        <x:v>2022-12-31</x:v>
      </x:c>
      <x:c r="D360" s="3" t="str">
        <x:v>Operating expense</x:v>
      </x:c>
      <x:c r="E360" s="6" t="n">
        <x:f>'計算底稿'!H38</x:f>
        <x:v>1009526</x:v>
      </x:c>
      <x:c r="F360" s="3" t="str">
        <x:v>USD  thousand</x:v>
      </x:c>
      <x:c r="G360" s="3" t="str">
        <x:v>原始報表數字</x:v>
      </x:c>
      <x:c r="H360" s="3" t="str">
        <x:v>Report1!D96, Report1!D94, Report1!D97</x:v>
      </x:c>
      <x:c r="I360" s="3" t="str">
        <x:v>毛利−營業利益（驗算）</x:v>
      </x:c>
      <x:c r="J360" s="3" t="str">
        <x:v>計算底稿!H38</x:v>
      </x:c>
      <x:c r="K360" s="3" t="str">
        <x:v>缺銷管、研發、減損等細分。</x:v>
      </x:c>
      <x:c r="L360" s="3" t="str">
        <x:v>/Users/yuntzuyu/Downloads/e-loan/Year/e-Loan YYYY-CROX 2025.xls</x:v>
      </x:c>
    </x:row>
    <x:row r="361" ht="25" customHeight="1">
      <x:c r="A361" s="3" t="str">
        <x:v>CROCS, INC.</x:v>
      </x:c>
      <x:c r="B361" s="3" t="str">
        <x:v>2022-01-01~2022-12-31</x:v>
      </x:c>
      <x:c r="C361" s="3" t="str">
        <x:v>2022-12-31</x:v>
      </x:c>
      <x:c r="D361" s="3" t="str">
        <x:v>Interest expense</x:v>
      </x:c>
      <x:c r="E361" s="6" t="n">
        <x:f>'計算底稿'!I38</x:f>
        <x:v>136158</x:v>
      </x:c>
      <x:c r="F361" s="3" t="str">
        <x:v>USD  thousand</x:v>
      </x:c>
      <x:c r="G361" s="3" t="str">
        <x:v>原始報表數字</x:v>
      </x:c>
      <x:c r="H361" s="3" t="str">
        <x:v>Report1!D106</x:v>
      </x:c>
      <x:c r="I361" s="3" t="str">
        <x:v>直接取原報表第106列</x:v>
      </x:c>
      <x:c r="J361" s="3" t="str">
        <x:v>計算底稿!I38</x:v>
      </x:c>
      <x:c r="K361" s="3" t="str">
        <x:v>屬應計費用；不是現金付息，也不以期末債務×利率替代。</x:v>
      </x:c>
      <x:c r="L361" s="3" t="str">
        <x:v>/Users/yuntzuyu/Downloads/e-loan/Year/e-Loan YYYY-CROX 2025.xls</x:v>
      </x:c>
    </x:row>
    <x:row r="362" ht="25" customHeight="1">
      <x:c r="A362" s="3" t="str">
        <x:v>CROCS, INC.</x:v>
      </x:c>
      <x:c r="B362" s="3" t="str">
        <x:v>2022-01-01~2022-12-31</x:v>
      </x:c>
      <x:c r="C362" s="3" t="str">
        <x:v>2022-12-31</x:v>
      </x:c>
      <x:c r="D362" s="3" t="str">
        <x:v>Quick ratio</x:v>
      </x:c>
      <x:c r="E362" s="7" t="n">
        <x:f>'計算底稿'!J38</x:f>
        <x:v>0.7598</x:v>
      </x:c>
      <x:c r="F362" s="3" t="str">
        <x:v>%</x:v>
      </x:c>
      <x:c r="G362" s="3" t="str">
        <x:v>原始報表數字</x:v>
      </x:c>
      <x:c r="H362" s="3" t="str">
        <x:v>Report1!D198, Report1!D11, Report1!D12, Report1!D13, Report1!D40</x:v>
      </x:c>
      <x:c r="I362" s="3" t="str">
        <x:v>(現金＋流動金融資產＋應收款項)÷流動負債</x:v>
      </x:c>
      <x:c r="J362" s="3" t="str">
        <x:v>計算底稿!J38</x:v>
      </x:c>
      <x:c r="K362" s="3" t="str">
        <x:v>原值為百分比；非直接以流動資產扣存貨。</x:v>
      </x:c>
      <x:c r="L362" s="3" t="str">
        <x:v>/Users/yuntzuyu/Downloads/e-loan/Year/e-Loan YYYY-CROX 2025.xls</x:v>
      </x:c>
    </x:row>
    <x:row r="363" ht="25" customHeight="1">
      <x:c r="A363" s="3" t="str">
        <x:v>CROCS, INC.</x:v>
      </x:c>
      <x:c r="B363" s="3" t="str">
        <x:v>2022-01-01~2022-12-31</x:v>
      </x:c>
      <x:c r="C363" s="3" t="str">
        <x:v>2022-12-31</x:v>
      </x:c>
      <x:c r="D363" s="3" t="str">
        <x:v>Debt ratio</x:v>
      </x:c>
      <x:c r="E363" s="7" t="n">
        <x:f>'計算底稿'!K38</x:f>
        <x:v>4.5039</x:v>
      </x:c>
      <x:c r="F363" s="3" t="str">
        <x:v>%</x:v>
      </x:c>
      <x:c r="G363" s="3" t="str">
        <x:v>原始報表數字</x:v>
      </x:c>
      <x:c r="H363" s="3" t="str">
        <x:v>Report1!D203, Report1!D62, Report1!D70</x:v>
      </x:c>
      <x:c r="I363" s="3" t="str">
        <x:v>總負債÷淨值</x:v>
      </x:c>
      <x:c r="J363" s="3" t="str">
        <x:v>計算底稿!K38</x:v>
      </x:c>
      <x:c r="K363" s="3" t="str">
        <x:v>實際為負債淨值比；非負債資產比，亦非有息債務比。</x:v>
      </x:c>
      <x:c r="L363" s="3" t="str">
        <x:v>/Users/yuntzuyu/Downloads/e-loan/Year/e-Loan YYYY-CROX 2025.xls</x:v>
      </x:c>
    </x:row>
    <x:row r="364" ht="25" customHeight="1">
      <x:c r="A364" s="3" t="str">
        <x:v>CROCS, INC.</x:v>
      </x:c>
      <x:c r="B364" s="3" t="str">
        <x:v>2022-01-01~2022-12-31</x:v>
      </x:c>
      <x:c r="C364" s="3" t="str">
        <x:v>2022-12-31</x:v>
      </x:c>
      <x:c r="D364" s="3" t="str">
        <x:v>Total debt</x:v>
      </x:c>
      <x:c r="E364" s="6" t="n">
        <x:f>'計算底稿'!L38</x:f>
        <x:v>2322389</x:v>
      </x:c>
      <x:c r="F364" s="3" t="str">
        <x:v>USD  thousand</x:v>
      </x:c>
      <x:c r="G364" s="3" t="str">
        <x:v>推算值／列示項目小計</x:v>
      </x:c>
      <x:c r="H364" s="3" t="str">
        <x:v>Report1!D41, Report1!D43, Report1!D55, Report1!D56</x:v>
      </x:c>
      <x:c r="I364" s="3" t="str">
        <x:v>短期借款＋一年內到期長債＋長期銀行借款＋公司債</x:v>
      </x:c>
      <x:c r="J364" s="3" t="str">
        <x:v>計算底稿!L38</x:v>
      </x:c>
      <x:c r="K364" s="3" t="str">
        <x:v>空白項未計入；租賃等未另加，非契約確認總債務。</x:v>
      </x:c>
      <x:c r="L364" s="3" t="str">
        <x:v>/Users/yuntzuyu/Downloads/e-loan/Year/e-Loan YYYY-CROX 2025.xls</x:v>
      </x:c>
    </x:row>
    <x:row r="365" ht="25" customHeight="1">
      <x:c r="A365" s="3" t="str">
        <x:v>CROCS, INC.</x:v>
      </x:c>
      <x:c r="B365" s="3" t="str">
        <x:v>2022-01-01~2022-12-31</x:v>
      </x:c>
      <x:c r="C365" s="3" t="str">
        <x:v>2022-12-31</x:v>
      </x:c>
      <x:c r="D365" s="3" t="str">
        <x:v>EBITDA（報表口徑）</x:v>
      </x:c>
      <x:c r="E365" s="6" t="n">
        <x:f>'計算底稿'!M38</x:f>
        <x:v>893895</x:v>
      </x:c>
      <x:c r="F365" s="3" t="str">
        <x:v>USD  thousand</x:v>
      </x:c>
      <x:c r="G365" s="3" t="str">
        <x:v>推算值</x:v>
      </x:c>
      <x:c r="H365" s="3" t="str">
        <x:v>Report1!D111, Report1!D106, Report1!D121, Report1!D201</x:v>
      </x:c>
      <x:c r="I365" s="3" t="str">
        <x:v>稅前損益＋利息費用＋折舊攤銷</x:v>
      </x:c>
      <x:c r="J365" s="3" t="str">
        <x:v>計算底稿!M38</x:v>
      </x:c>
      <x:c r="K365" s="3" t="str">
        <x:v>可重現原表EBITDA/Interest；含業外損益。</x:v>
      </x:c>
      <x:c r="L365" s="3" t="str">
        <x:v>/Users/yuntzuyu/Downloads/e-loan/Year/e-Loan YYYY-CROX 2025.xls</x:v>
      </x:c>
    </x:row>
    <x:row r="366" ht="25" customHeight="1">
      <x:c r="A366" s="3" t="str">
        <x:v>CROCS, INC.</x:v>
      </x:c>
      <x:c r="B366" s="3" t="str">
        <x:v>2022-01-01~2022-12-31</x:v>
      </x:c>
      <x:c r="C366" s="3" t="str">
        <x:v>2022-12-31</x:v>
      </x:c>
      <x:c r="D366" s="3" t="str">
        <x:v>EBITDA basis</x:v>
      </x:c>
      <x:c r="E366" s="3" t="str">
        <x:v>稅前損益＋利息＋折舊攤銷</x:v>
      </x:c>
      <x:c r="F366" s="3" t="str">
        <x:v>文字</x:v>
      </x:c>
      <x:c r="G366" s="3" t="str">
        <x:v>口徑說明</x:v>
      </x:c>
      <x:c r="H366" s="3" t="str">
        <x:v>Report1!D111, Report1!D106, Report1!D121</x:v>
      </x:c>
      <x:c r="I366" s="3" t="str">
        <x:v>稅前損益＋利息費用＋折舊攤銷</x:v>
      </x:c>
      <x:c r="J366" s="3" t="str">
        <x:v>計算底稿!M38</x:v>
      </x:c>
      <x:c r="K366" s="3" t="str">
        <x:v>本列為文字定義；不代表Adjusted或契約EBITDA。</x:v>
      </x:c>
      <x:c r="L366" s="3" t="str">
        <x:v>/Users/yuntzuyu/Downloads/e-loan/Year/e-Loan YYYY-CROX 2025.xls</x:v>
      </x:c>
    </x:row>
    <x:row r="367" ht="25" customHeight="1">
      <x:c r="A367" s="3" t="str">
        <x:v>CROCS, INC.</x:v>
      </x:c>
      <x:c r="B367" s="3" t="str">
        <x:v>2022-01-01~2022-12-31</x:v>
      </x:c>
      <x:c r="C367" s="3" t="str">
        <x:v>2022-12-31</x:v>
      </x:c>
      <x:c r="D367" s="3" t="str">
        <x:v>LTM EBITDA</x:v>
      </x:c>
      <x:c r="E367" s="6" t="n">
        <x:f>'計算底稿'!P38</x:f>
        <x:v>893895</x:v>
      </x:c>
      <x:c r="F367" s="3" t="str">
        <x:v>USD  thousand</x:v>
      </x:c>
      <x:c r="G367" s="3" t="str">
        <x:v>推算值</x:v>
      </x:c>
      <x:c r="H367" s="3" t="str">
        <x:v>Report1!D111, Report1!D106, Report1!D121</x:v>
      </x:c>
      <x:c r="I367" s="3" t="str">
        <x:v>全年：當年EBITDA；期中：前全年＋本YTD−前YTD</x:v>
      </x:c>
      <x:c r="J367" s="3" t="str">
        <x:v>計算底稿!P38</x:v>
      </x:c>
      <x:c r="K367" s="3" t="str">
        <x:v>期中缺前同期則資料不足；不採YTD×2或×4。</x:v>
      </x:c>
      <x:c r="L367" s="3" t="str">
        <x:v>/Users/yuntzuyu/Downloads/e-loan/Year/e-Loan YYYY-CROX 2025.xls</x:v>
      </x:c>
    </x:row>
    <x:row r="368" ht="25" customHeight="1">
      <x:c r="A368" s="3" t="str">
        <x:v>CROCS, INC.</x:v>
      </x:c>
      <x:c r="B368" s="3" t="str">
        <x:v>2022-01-01~2022-12-31</x:v>
      </x:c>
      <x:c r="C368" s="3" t="str">
        <x:v>2022-12-31</x:v>
      </x:c>
      <x:c r="D368" s="3" t="str">
        <x:v>Total leverage ratio</x:v>
      </x:c>
      <x:c r="E368" s="8" t="n">
        <x:f>'計算底稿'!Q38</x:f>
        <x:v>2.598055700054257</x:v>
      </x:c>
      <x:c r="F368" s="3" t="str">
        <x:v>倍</x:v>
      </x:c>
      <x:c r="G368" s="3" t="str">
        <x:v>推算值／非契約倍數</x:v>
      </x:c>
      <x:c r="H368" s="3" t="str">
        <x:v>Report1!D41, Report1!D43, Report1!D55, Report1!D56, Report1!D111, Report1!D106, Report1!D121</x:v>
      </x:c>
      <x:c r="I368" s="3" t="str">
        <x:v>期末列示債務合計÷LTM EBITDA</x:v>
      </x:c>
      <x:c r="J368" s="3" t="str">
        <x:v>計算底稿!Q38</x:v>
      </x:c>
      <x:c r="K368" s="3" t="str">
        <x:v>未扣現金；不含未辨識租賃；EBITDA≤0時標示不具意義。</x:v>
      </x:c>
      <x:c r="L368" s="3" t="str">
        <x:v>/Users/yuntzuyu/Downloads/e-loan/Year/e-Loan YYYY-CROX 2025.xls</x:v>
      </x:c>
    </x:row>
    <x:row r="369" ht="25" customHeight="1">
      <x:c r="A369" s="3" t="str">
        <x:v>CROCS, INC.</x:v>
      </x:c>
      <x:c r="B369" s="3" t="str">
        <x:v>2023-01-01~2023-12-31</x:v>
      </x:c>
      <x:c r="C369" s="3" t="str">
        <x:v>2023-12-31</x:v>
      </x:c>
      <x:c r="D369" s="3" t="str">
        <x:v>Cost of revenues</x:v>
      </x:c>
      <x:c r="E369" s="6" t="n">
        <x:f>'計算底稿'!F39</x:f>
        <x:v>1752337</x:v>
      </x:c>
      <x:c r="F369" s="3" t="str">
        <x:v>USD  thousand</x:v>
      </x:c>
      <x:c r="G369" s="3" t="str">
        <x:v>原始報表數字</x:v>
      </x:c>
      <x:c r="H369" s="3" t="str">
        <x:v>Report1!I86</x:v>
      </x:c>
      <x:c r="I369" s="3" t="str">
        <x:v>營收−毛利（驗算）</x:v>
      </x:c>
      <x:c r="J369" s="3" t="str">
        <x:v>計算底稿!F39</x:v>
      </x:c>
      <x:c r="K369" s="3" t="str">
        <x:v>對應Operating Cost/COGS；缺成本細項。</x:v>
      </x:c>
      <x:c r="L369" s="3" t="str">
        <x:v>/Users/yuntzuyu/Downloads/e-loan/Year/e-Loan YYYY-CROX 2025.xls</x:v>
      </x:c>
    </x:row>
    <x:row r="370" ht="25" customHeight="1">
      <x:c r="A370" s="3" t="str">
        <x:v>CROCS, INC.</x:v>
      </x:c>
      <x:c r="B370" s="3" t="str">
        <x:v>2023-01-01~2023-12-31</x:v>
      </x:c>
      <x:c r="C370" s="3" t="str">
        <x:v>2023-12-31</x:v>
      </x:c>
      <x:c r="D370" s="3" t="str">
        <x:v>Gross profit</x:v>
      </x:c>
      <x:c r="E370" s="6" t="n">
        <x:f>'計算底稿'!G39</x:f>
        <x:v>2210010</x:v>
      </x:c>
      <x:c r="F370" s="3" t="str">
        <x:v>USD  thousand</x:v>
      </x:c>
      <x:c r="G370" s="3" t="str">
        <x:v>原始報表數字</x:v>
      </x:c>
      <x:c r="H370" s="3" t="str">
        <x:v>Report1!I94, Report1!I80, Report1!I86</x:v>
      </x:c>
      <x:c r="I370" s="3" t="str">
        <x:v>營收−營收成本</x:v>
      </x:c>
      <x:c r="J370" s="3" t="str">
        <x:v>計算底稿!G39</x:v>
      </x:c>
      <x:c r="K370" s="3" t="str">
        <x:v>原值與驗算一致。</x:v>
      </x:c>
      <x:c r="L370" s="3" t="str">
        <x:v>/Users/yuntzuyu/Downloads/e-loan/Year/e-Loan YYYY-CROX 2025.xls</x:v>
      </x:c>
    </x:row>
    <x:row r="371" ht="25" customHeight="1">
      <x:c r="A371" s="3" t="str">
        <x:v>CROCS, INC.</x:v>
      </x:c>
      <x:c r="B371" s="3" t="str">
        <x:v>2023-01-01~2023-12-31</x:v>
      </x:c>
      <x:c r="C371" s="3" t="str">
        <x:v>2023-12-31</x:v>
      </x:c>
      <x:c r="D371" s="3" t="str">
        <x:v>Operating expense</x:v>
      </x:c>
      <x:c r="E371" s="6" t="n">
        <x:f>'計算底稿'!H39</x:f>
        <x:v>1173227</x:v>
      </x:c>
      <x:c r="F371" s="3" t="str">
        <x:v>USD  thousand</x:v>
      </x:c>
      <x:c r="G371" s="3" t="str">
        <x:v>原始報表數字</x:v>
      </x:c>
      <x:c r="H371" s="3" t="str">
        <x:v>Report1!I96, Report1!I94, Report1!I97</x:v>
      </x:c>
      <x:c r="I371" s="3" t="str">
        <x:v>毛利−營業利益（驗算）</x:v>
      </x:c>
      <x:c r="J371" s="3" t="str">
        <x:v>計算底稿!H39</x:v>
      </x:c>
      <x:c r="K371" s="3" t="str">
        <x:v>缺銷管、研發、減損等細分。</x:v>
      </x:c>
      <x:c r="L371" s="3" t="str">
        <x:v>/Users/yuntzuyu/Downloads/e-loan/Year/e-Loan YYYY-CROX 2025.xls</x:v>
      </x:c>
    </x:row>
    <x:row r="372" ht="25" customHeight="1">
      <x:c r="A372" s="3" t="str">
        <x:v>CROCS, INC.</x:v>
      </x:c>
      <x:c r="B372" s="3" t="str">
        <x:v>2023-01-01~2023-12-31</x:v>
      </x:c>
      <x:c r="C372" s="3" t="str">
        <x:v>2023-12-31</x:v>
      </x:c>
      <x:c r="D372" s="3" t="str">
        <x:v>Interest expense</x:v>
      </x:c>
      <x:c r="E372" s="6" t="n">
        <x:f>'計算底稿'!I39</x:f>
        <x:v>161351</x:v>
      </x:c>
      <x:c r="F372" s="3" t="str">
        <x:v>USD  thousand</x:v>
      </x:c>
      <x:c r="G372" s="3" t="str">
        <x:v>原始報表數字</x:v>
      </x:c>
      <x:c r="H372" s="3" t="str">
        <x:v>Report1!I106</x:v>
      </x:c>
      <x:c r="I372" s="3" t="str">
        <x:v>直接取原報表第106列</x:v>
      </x:c>
      <x:c r="J372" s="3" t="str">
        <x:v>計算底稿!I39</x:v>
      </x:c>
      <x:c r="K372" s="3" t="str">
        <x:v>屬應計費用；不是現金付息，也不以期末債務×利率替代。</x:v>
      </x:c>
      <x:c r="L372" s="3" t="str">
        <x:v>/Users/yuntzuyu/Downloads/e-loan/Year/e-Loan YYYY-CROX 2025.xls</x:v>
      </x:c>
    </x:row>
    <x:row r="373" ht="25" customHeight="1">
      <x:c r="A373" s="3" t="str">
        <x:v>CROCS, INC.</x:v>
      </x:c>
      <x:c r="B373" s="3" t="str">
        <x:v>2023-01-01~2023-12-31</x:v>
      </x:c>
      <x:c r="C373" s="3" t="str">
        <x:v>2023-12-31</x:v>
      </x:c>
      <x:c r="D373" s="3" t="str">
        <x:v>Quick ratio</x:v>
      </x:c>
      <x:c r="E373" s="7" t="n">
        <x:f>'計算底稿'!J39</x:f>
        <x:v>0.6516</x:v>
      </x:c>
      <x:c r="F373" s="3" t="str">
        <x:v>%</x:v>
      </x:c>
      <x:c r="G373" s="3" t="str">
        <x:v>原始報表數字</x:v>
      </x:c>
      <x:c r="H373" s="3" t="str">
        <x:v>Report1!I198, Report1!I11, Report1!I12, Report1!I13, Report1!I40</x:v>
      </x:c>
      <x:c r="I373" s="3" t="str">
        <x:v>(現金＋流動金融資產＋應收款項)÷流動負債</x:v>
      </x:c>
      <x:c r="J373" s="3" t="str">
        <x:v>計算底稿!J39</x:v>
      </x:c>
      <x:c r="K373" s="3" t="str">
        <x:v>原值為百分比；非直接以流動資產扣存貨。</x:v>
      </x:c>
      <x:c r="L373" s="3" t="str">
        <x:v>/Users/yuntzuyu/Downloads/e-loan/Year/e-Loan YYYY-CROX 2025.xls</x:v>
      </x:c>
    </x:row>
    <x:row r="374" ht="25" customHeight="1">
      <x:c r="A374" s="3" t="str">
        <x:v>CROCS, INC.</x:v>
      </x:c>
      <x:c r="B374" s="3" t="str">
        <x:v>2023-01-01~2023-12-31</x:v>
      </x:c>
      <x:c r="C374" s="3" t="str">
        <x:v>2023-12-31</x:v>
      </x:c>
      <x:c r="D374" s="3" t="str">
        <x:v>Debt ratio</x:v>
      </x:c>
      <x:c r="E374" s="7" t="n">
        <x:f>'計算底稿'!K39</x:f>
        <x:v>2.194</x:v>
      </x:c>
      <x:c r="F374" s="3" t="str">
        <x:v>%</x:v>
      </x:c>
      <x:c r="G374" s="3" t="str">
        <x:v>原始報表數字</x:v>
      </x:c>
      <x:c r="H374" s="3" t="str">
        <x:v>Report1!I203, Report1!I62, Report1!I70</x:v>
      </x:c>
      <x:c r="I374" s="3" t="str">
        <x:v>總負債÷淨值</x:v>
      </x:c>
      <x:c r="J374" s="3" t="str">
        <x:v>計算底稿!K39</x:v>
      </x:c>
      <x:c r="K374" s="3" t="str">
        <x:v>實際為負債淨值比；非負債資產比，亦非有息債務比。</x:v>
      </x:c>
      <x:c r="L374" s="3" t="str">
        <x:v>/Users/yuntzuyu/Downloads/e-loan/Year/e-Loan YYYY-CROX 2025.xls</x:v>
      </x:c>
    </x:row>
    <x:row r="375" ht="25" customHeight="1">
      <x:c r="A375" s="3" t="str">
        <x:v>CROCS, INC.</x:v>
      </x:c>
      <x:c r="B375" s="3" t="str">
        <x:v>2023-01-01~2023-12-31</x:v>
      </x:c>
      <x:c r="C375" s="3" t="str">
        <x:v>2023-12-31</x:v>
      </x:c>
      <x:c r="D375" s="3" t="str">
        <x:v>Total debt</x:v>
      </x:c>
      <x:c r="E375" s="6" t="n">
        <x:f>'計算底稿'!L39</x:f>
        <x:v>1664324</x:v>
      </x:c>
      <x:c r="F375" s="3" t="str">
        <x:v>USD  thousand</x:v>
      </x:c>
      <x:c r="G375" s="3" t="str">
        <x:v>推算值／列示項目小計</x:v>
      </x:c>
      <x:c r="H375" s="3" t="str">
        <x:v>Report1!I41, Report1!I43, Report1!I55, Report1!I56</x:v>
      </x:c>
      <x:c r="I375" s="3" t="str">
        <x:v>短期借款＋一年內到期長債＋長期銀行借款＋公司債</x:v>
      </x:c>
      <x:c r="J375" s="3" t="str">
        <x:v>計算底稿!L39</x:v>
      </x:c>
      <x:c r="K375" s="3" t="str">
        <x:v>空白項未計入；租賃等未另加，非契約確認總債務。</x:v>
      </x:c>
      <x:c r="L375" s="3" t="str">
        <x:v>/Users/yuntzuyu/Downloads/e-loan/Year/e-Loan YYYY-CROX 2025.xls</x:v>
      </x:c>
    </x:row>
    <x:row r="376" ht="25" customHeight="1">
      <x:c r="A376" s="3" t="str">
        <x:v>CROCS, INC.</x:v>
      </x:c>
      <x:c r="B376" s="3" t="str">
        <x:v>2023-01-01~2023-12-31</x:v>
      </x:c>
      <x:c r="C376" s="3" t="str">
        <x:v>2023-12-31</x:v>
      </x:c>
      <x:c r="D376" s="3" t="str">
        <x:v>EBITDA（報表口徑）</x:v>
      </x:c>
      <x:c r="E376" s="6" t="n">
        <x:f>'計算底稿'!M39</x:f>
        <x:v>1091927</x:v>
      </x:c>
      <x:c r="F376" s="3" t="str">
        <x:v>USD  thousand</x:v>
      </x:c>
      <x:c r="G376" s="3" t="str">
        <x:v>推算值</x:v>
      </x:c>
      <x:c r="H376" s="3" t="str">
        <x:v>Report1!I111, Report1!I106, Report1!I121, Report1!I201</x:v>
      </x:c>
      <x:c r="I376" s="3" t="str">
        <x:v>稅前損益＋利息費用＋折舊攤銷</x:v>
      </x:c>
      <x:c r="J376" s="3" t="str">
        <x:v>計算底稿!M39</x:v>
      </x:c>
      <x:c r="K376" s="3" t="str">
        <x:v>可重現原表EBITDA/Interest；含業外損益。</x:v>
      </x:c>
      <x:c r="L376" s="3" t="str">
        <x:v>/Users/yuntzuyu/Downloads/e-loan/Year/e-Loan YYYY-CROX 2025.xls</x:v>
      </x:c>
    </x:row>
    <x:row r="377" ht="25" customHeight="1">
      <x:c r="A377" s="3" t="str">
        <x:v>CROCS, INC.</x:v>
      </x:c>
      <x:c r="B377" s="3" t="str">
        <x:v>2023-01-01~2023-12-31</x:v>
      </x:c>
      <x:c r="C377" s="3" t="str">
        <x:v>2023-12-31</x:v>
      </x:c>
      <x:c r="D377" s="3" t="str">
        <x:v>EBITDA basis</x:v>
      </x:c>
      <x:c r="E377" s="3" t="str">
        <x:v>稅前損益＋利息＋折舊攤銷</x:v>
      </x:c>
      <x:c r="F377" s="3" t="str">
        <x:v>文字</x:v>
      </x:c>
      <x:c r="G377" s="3" t="str">
        <x:v>口徑說明</x:v>
      </x:c>
      <x:c r="H377" s="3" t="str">
        <x:v>Report1!I111, Report1!I106, Report1!I121</x:v>
      </x:c>
      <x:c r="I377" s="3" t="str">
        <x:v>稅前損益＋利息費用＋折舊攤銷</x:v>
      </x:c>
      <x:c r="J377" s="3" t="str">
        <x:v>計算底稿!M39</x:v>
      </x:c>
      <x:c r="K377" s="3" t="str">
        <x:v>本列為文字定義；不代表Adjusted或契約EBITDA。</x:v>
      </x:c>
      <x:c r="L377" s="3" t="str">
        <x:v>/Users/yuntzuyu/Downloads/e-loan/Year/e-Loan YYYY-CROX 2025.xls</x:v>
      </x:c>
    </x:row>
    <x:row r="378" ht="25" customHeight="1">
      <x:c r="A378" s="3" t="str">
        <x:v>CROCS, INC.</x:v>
      </x:c>
      <x:c r="B378" s="3" t="str">
        <x:v>2023-01-01~2023-12-31</x:v>
      </x:c>
      <x:c r="C378" s="3" t="str">
        <x:v>2023-12-31</x:v>
      </x:c>
      <x:c r="D378" s="3" t="str">
        <x:v>LTM EBITDA</x:v>
      </x:c>
      <x:c r="E378" s="6" t="n">
        <x:f>'計算底稿'!P39</x:f>
        <x:v>1091927</x:v>
      </x:c>
      <x:c r="F378" s="3" t="str">
        <x:v>USD  thousand</x:v>
      </x:c>
      <x:c r="G378" s="3" t="str">
        <x:v>推算值</x:v>
      </x:c>
      <x:c r="H378" s="3" t="str">
        <x:v>Report1!I111, Report1!I106, Report1!I121</x:v>
      </x:c>
      <x:c r="I378" s="3" t="str">
        <x:v>全年：當年EBITDA；期中：前全年＋本YTD−前YTD</x:v>
      </x:c>
      <x:c r="J378" s="3" t="str">
        <x:v>計算底稿!P39</x:v>
      </x:c>
      <x:c r="K378" s="3" t="str">
        <x:v>期中缺前同期則資料不足；不採YTD×2或×4。</x:v>
      </x:c>
      <x:c r="L378" s="3" t="str">
        <x:v>/Users/yuntzuyu/Downloads/e-loan/Year/e-Loan YYYY-CROX 2025.xls</x:v>
      </x:c>
    </x:row>
    <x:row r="379" ht="25" customHeight="1">
      <x:c r="A379" s="3" t="str">
        <x:v>CROCS, INC.</x:v>
      </x:c>
      <x:c r="B379" s="3" t="str">
        <x:v>2023-01-01~2023-12-31</x:v>
      </x:c>
      <x:c r="C379" s="3" t="str">
        <x:v>2023-12-31</x:v>
      </x:c>
      <x:c r="D379" s="3" t="str">
        <x:v>Total leverage ratio</x:v>
      </x:c>
      <x:c r="E379" s="8" t="n">
        <x:f>'計算底稿'!Q39</x:f>
        <x:v>1.5242081201398994</x:v>
      </x:c>
      <x:c r="F379" s="3" t="str">
        <x:v>倍</x:v>
      </x:c>
      <x:c r="G379" s="3" t="str">
        <x:v>推算值／非契約倍數</x:v>
      </x:c>
      <x:c r="H379" s="3" t="str">
        <x:v>Report1!I41, Report1!I43, Report1!I55, Report1!I56, Report1!I111, Report1!I106, Report1!I121</x:v>
      </x:c>
      <x:c r="I379" s="3" t="str">
        <x:v>期末列示債務合計÷LTM EBITDA</x:v>
      </x:c>
      <x:c r="J379" s="3" t="str">
        <x:v>計算底稿!Q39</x:v>
      </x:c>
      <x:c r="K379" s="3" t="str">
        <x:v>未扣現金；不含未辨識租賃；EBITDA≤0時標示不具意義。</x:v>
      </x:c>
      <x:c r="L379" s="3" t="str">
        <x:v>/Users/yuntzuyu/Downloads/e-loan/Year/e-Loan YYYY-CROX 2025.xls</x:v>
      </x:c>
    </x:row>
    <x:row r="380" ht="25" customHeight="1">
      <x:c r="A380" s="3" t="str">
        <x:v>CROCS, INC.</x:v>
      </x:c>
      <x:c r="B380" s="3" t="str">
        <x:v>2024-01-01~2024-12-31</x:v>
      </x:c>
      <x:c r="C380" s="3" t="str">
        <x:v>2024-12-31</x:v>
      </x:c>
      <x:c r="D380" s="3" t="str">
        <x:v>Cost of revenues</x:v>
      </x:c>
      <x:c r="E380" s="6" t="n">
        <x:f>'計算底稿'!F40</x:f>
        <x:v>1691850</x:v>
      </x:c>
      <x:c r="F380" s="3" t="str">
        <x:v>USD  thousand</x:v>
      </x:c>
      <x:c r="G380" s="3" t="str">
        <x:v>原始報表數字</x:v>
      </x:c>
      <x:c r="H380" s="3" t="str">
        <x:v>Report1!M86</x:v>
      </x:c>
      <x:c r="I380" s="3" t="str">
        <x:v>營收−毛利（驗算）</x:v>
      </x:c>
      <x:c r="J380" s="3" t="str">
        <x:v>計算底稿!F40</x:v>
      </x:c>
      <x:c r="K380" s="3" t="str">
        <x:v>對應Operating Cost/COGS；缺成本細項。</x:v>
      </x:c>
      <x:c r="L380" s="3" t="str">
        <x:v>/Users/yuntzuyu/Downloads/e-loan/Year/e-Loan YYYY-CROX 2025.xls</x:v>
      </x:c>
    </x:row>
    <x:row r="381" ht="25" customHeight="1">
      <x:c r="A381" s="3" t="str">
        <x:v>CROCS, INC.</x:v>
      </x:c>
      <x:c r="B381" s="3" t="str">
        <x:v>2024-01-01~2024-12-31</x:v>
      </x:c>
      <x:c r="C381" s="3" t="str">
        <x:v>2024-12-31</x:v>
      </x:c>
      <x:c r="D381" s="3" t="str">
        <x:v>Gross profit</x:v>
      </x:c>
      <x:c r="E381" s="6" t="n">
        <x:f>'計算底稿'!G40</x:f>
        <x:v>2410258</x:v>
      </x:c>
      <x:c r="F381" s="3" t="str">
        <x:v>USD  thousand</x:v>
      </x:c>
      <x:c r="G381" s="3" t="str">
        <x:v>原始報表數字</x:v>
      </x:c>
      <x:c r="H381" s="3" t="str">
        <x:v>Report1!M94, Report1!M80, Report1!M86</x:v>
      </x:c>
      <x:c r="I381" s="3" t="str">
        <x:v>營收−營收成本</x:v>
      </x:c>
      <x:c r="J381" s="3" t="str">
        <x:v>計算底稿!G40</x:v>
      </x:c>
      <x:c r="K381" s="3" t="str">
        <x:v>原值與驗算一致。</x:v>
      </x:c>
      <x:c r="L381" s="3" t="str">
        <x:v>/Users/yuntzuyu/Downloads/e-loan/Year/e-Loan YYYY-CROX 2025.xls</x:v>
      </x:c>
    </x:row>
    <x:row r="382" ht="25" customHeight="1">
      <x:c r="A382" s="3" t="str">
        <x:v>CROCS, INC.</x:v>
      </x:c>
      <x:c r="B382" s="3" t="str">
        <x:v>2024-01-01~2024-12-31</x:v>
      </x:c>
      <x:c r="C382" s="3" t="str">
        <x:v>2024-12-31</x:v>
      </x:c>
      <x:c r="D382" s="3" t="str">
        <x:v>Operating expense</x:v>
      </x:c>
      <x:c r="E382" s="6" t="n">
        <x:f>'計算底稿'!H40</x:f>
        <x:v>1388347</x:v>
      </x:c>
      <x:c r="F382" s="3" t="str">
        <x:v>USD  thousand</x:v>
      </x:c>
      <x:c r="G382" s="3" t="str">
        <x:v>原始報表數字</x:v>
      </x:c>
      <x:c r="H382" s="3" t="str">
        <x:v>Report1!M96, Report1!M94, Report1!M97</x:v>
      </x:c>
      <x:c r="I382" s="3" t="str">
        <x:v>毛利−營業利益（驗算）</x:v>
      </x:c>
      <x:c r="J382" s="3" t="str">
        <x:v>計算底稿!H40</x:v>
      </x:c>
      <x:c r="K382" s="3" t="str">
        <x:v>缺銷管、研發、減損等細分。</x:v>
      </x:c>
      <x:c r="L382" s="3" t="str">
        <x:v>/Users/yuntzuyu/Downloads/e-loan/Year/e-Loan YYYY-CROX 2025.xls</x:v>
      </x:c>
    </x:row>
    <x:row r="383" ht="25" customHeight="1">
      <x:c r="A383" s="3" t="str">
        <x:v>CROCS, INC.</x:v>
      </x:c>
      <x:c r="B383" s="3" t="str">
        <x:v>2024-01-01~2024-12-31</x:v>
      </x:c>
      <x:c r="C383" s="3" t="str">
        <x:v>2024-12-31</x:v>
      </x:c>
      <x:c r="D383" s="3" t="str">
        <x:v>Interest expense</x:v>
      </x:c>
      <x:c r="E383" s="6" t="n">
        <x:f>'計算底稿'!I40</x:f>
        <x:v>109264</x:v>
      </x:c>
      <x:c r="F383" s="3" t="str">
        <x:v>USD  thousand</x:v>
      </x:c>
      <x:c r="G383" s="3" t="str">
        <x:v>原始報表數字</x:v>
      </x:c>
      <x:c r="H383" s="3" t="str">
        <x:v>Report1!M106</x:v>
      </x:c>
      <x:c r="I383" s="3" t="str">
        <x:v>直接取原報表第106列</x:v>
      </x:c>
      <x:c r="J383" s="3" t="str">
        <x:v>計算底稿!I40</x:v>
      </x:c>
      <x:c r="K383" s="3" t="str">
        <x:v>屬應計費用；不是現金付息，也不以期末債務×利率替代。</x:v>
      </x:c>
      <x:c r="L383" s="3" t="str">
        <x:v>/Users/yuntzuyu/Downloads/e-loan/Year/e-Loan YYYY-CROX 2025.xls</x:v>
      </x:c>
    </x:row>
    <x:row r="384" ht="25" customHeight="1">
      <x:c r="A384" s="3" t="str">
        <x:v>CROCS, INC.</x:v>
      </x:c>
      <x:c r="B384" s="3" t="str">
        <x:v>2024-01-01~2024-12-31</x:v>
      </x:c>
      <x:c r="C384" s="3" t="str">
        <x:v>2024-12-31</x:v>
      </x:c>
      <x:c r="D384" s="3" t="str">
        <x:v>Quick ratio</x:v>
      </x:c>
      <x:c r="E384" s="7" t="n">
        <x:f>'計算底稿'!J40</x:f>
        <x:v>0.5919</x:v>
      </x:c>
      <x:c r="F384" s="3" t="str">
        <x:v>%</x:v>
      </x:c>
      <x:c r="G384" s="3" t="str">
        <x:v>原始報表數字</x:v>
      </x:c>
      <x:c r="H384" s="3" t="str">
        <x:v>Report1!M198, Report1!M11, Report1!M12, Report1!M13, Report1!M40</x:v>
      </x:c>
      <x:c r="I384" s="3" t="str">
        <x:v>(現金＋流動金融資產＋應收款項)÷流動負債</x:v>
      </x:c>
      <x:c r="J384" s="3" t="str">
        <x:v>計算底稿!J40</x:v>
      </x:c>
      <x:c r="K384" s="3" t="str">
        <x:v>原值為百分比；非直接以流動資產扣存貨。</x:v>
      </x:c>
      <x:c r="L384" s="3" t="str">
        <x:v>/Users/yuntzuyu/Downloads/e-loan/Year/e-Loan YYYY-CROX 2025.xls</x:v>
      </x:c>
    </x:row>
    <x:row r="385" ht="25" customHeight="1">
      <x:c r="A385" s="3" t="str">
        <x:v>CROCS, INC.</x:v>
      </x:c>
      <x:c r="B385" s="3" t="str">
        <x:v>2024-01-01~2024-12-31</x:v>
      </x:c>
      <x:c r="C385" s="3" t="str">
        <x:v>2024-12-31</x:v>
      </x:c>
      <x:c r="D385" s="3" t="str">
        <x:v>Debt ratio</x:v>
      </x:c>
      <x:c r="E385" s="7" t="n">
        <x:f>'計算底稿'!K40</x:f>
        <x:v>1.6214</x:v>
      </x:c>
      <x:c r="F385" s="3" t="str">
        <x:v>%</x:v>
      </x:c>
      <x:c r="G385" s="3" t="str">
        <x:v>原始報表數字</x:v>
      </x:c>
      <x:c r="H385" s="3" t="str">
        <x:v>Report1!M203, Report1!M62, Report1!M70</x:v>
      </x:c>
      <x:c r="I385" s="3" t="str">
        <x:v>總負債÷淨值</x:v>
      </x:c>
      <x:c r="J385" s="3" t="str">
        <x:v>計算底稿!K40</x:v>
      </x:c>
      <x:c r="K385" s="3" t="str">
        <x:v>實際為負債淨值比；非負債資產比，亦非有息債務比。</x:v>
      </x:c>
      <x:c r="L385" s="3" t="str">
        <x:v>/Users/yuntzuyu/Downloads/e-loan/Year/e-Loan YYYY-CROX 2025.xls</x:v>
      </x:c>
    </x:row>
    <x:row r="386" ht="25" customHeight="1">
      <x:c r="A386" s="3" t="str">
        <x:v>CROCS, INC.</x:v>
      </x:c>
      <x:c r="B386" s="3" t="str">
        <x:v>2024-01-01~2024-12-31</x:v>
      </x:c>
      <x:c r="C386" s="3" t="str">
        <x:v>2024-12-31</x:v>
      </x:c>
      <x:c r="D386" s="3" t="str">
        <x:v>Total debt</x:v>
      </x:c>
      <x:c r="E386" s="6" t="n">
        <x:f>'計算底稿'!L40</x:f>
        <x:v>1349339</x:v>
      </x:c>
      <x:c r="F386" s="3" t="str">
        <x:v>USD  thousand</x:v>
      </x:c>
      <x:c r="G386" s="3" t="str">
        <x:v>推算值／列示項目小計</x:v>
      </x:c>
      <x:c r="H386" s="3" t="str">
        <x:v>Report1!M41, Report1!M43, Report1!M55, Report1!M56</x:v>
      </x:c>
      <x:c r="I386" s="3" t="str">
        <x:v>短期借款＋一年內到期長債＋長期銀行借款＋公司債</x:v>
      </x:c>
      <x:c r="J386" s="3" t="str">
        <x:v>計算底稿!L40</x:v>
      </x:c>
      <x:c r="K386" s="3" t="str">
        <x:v>空白項未計入；租賃等未另加，非契約確認總債務。</x:v>
      </x:c>
      <x:c r="L386" s="3" t="str">
        <x:v>/Users/yuntzuyu/Downloads/e-loan/Year/e-Loan YYYY-CROX 2025.xls</x:v>
      </x:c>
    </x:row>
    <x:row r="387" ht="25" customHeight="1">
      <x:c r="A387" s="3" t="str">
        <x:v>CROCS, INC.</x:v>
      </x:c>
      <x:c r="B387" s="3" t="str">
        <x:v>2024-01-01~2024-12-31</x:v>
      </x:c>
      <x:c r="C387" s="3" t="str">
        <x:v>2024-12-31</x:v>
      </x:c>
      <x:c r="D387" s="3" t="str">
        <x:v>EBITDA（報表口徑）</x:v>
      </x:c>
      <x:c r="E387" s="6" t="n">
        <x:f>'計算底稿'!M40</x:f>
        <x:v>1089689</x:v>
      </x:c>
      <x:c r="F387" s="3" t="str">
        <x:v>USD  thousand</x:v>
      </x:c>
      <x:c r="G387" s="3" t="str">
        <x:v>推算值</x:v>
      </x:c>
      <x:c r="H387" s="3" t="str">
        <x:v>Report1!M111, Report1!M106, Report1!M121, Report1!M201</x:v>
      </x:c>
      <x:c r="I387" s="3" t="str">
        <x:v>稅前損益＋利息費用＋折舊攤銷</x:v>
      </x:c>
      <x:c r="J387" s="3" t="str">
        <x:v>計算底稿!M40</x:v>
      </x:c>
      <x:c r="K387" s="3" t="str">
        <x:v>可重現原表EBITDA/Interest；含業外損益。</x:v>
      </x:c>
      <x:c r="L387" s="3" t="str">
        <x:v>/Users/yuntzuyu/Downloads/e-loan/Year/e-Loan YYYY-CROX 2025.xls</x:v>
      </x:c>
    </x:row>
    <x:row r="388" ht="25" customHeight="1">
      <x:c r="A388" s="3" t="str">
        <x:v>CROCS, INC.</x:v>
      </x:c>
      <x:c r="B388" s="3" t="str">
        <x:v>2024-01-01~2024-12-31</x:v>
      </x:c>
      <x:c r="C388" s="3" t="str">
        <x:v>2024-12-31</x:v>
      </x:c>
      <x:c r="D388" s="3" t="str">
        <x:v>EBITDA basis</x:v>
      </x:c>
      <x:c r="E388" s="3" t="str">
        <x:v>稅前損益＋利息＋折舊攤銷</x:v>
      </x:c>
      <x:c r="F388" s="3" t="str">
        <x:v>文字</x:v>
      </x:c>
      <x:c r="G388" s="3" t="str">
        <x:v>口徑說明</x:v>
      </x:c>
      <x:c r="H388" s="3" t="str">
        <x:v>Report1!M111, Report1!M106, Report1!M121</x:v>
      </x:c>
      <x:c r="I388" s="3" t="str">
        <x:v>稅前損益＋利息費用＋折舊攤銷</x:v>
      </x:c>
      <x:c r="J388" s="3" t="str">
        <x:v>計算底稿!M40</x:v>
      </x:c>
      <x:c r="K388" s="3" t="str">
        <x:v>本列為文字定義；不代表Adjusted或契約EBITDA。</x:v>
      </x:c>
      <x:c r="L388" s="3" t="str">
        <x:v>/Users/yuntzuyu/Downloads/e-loan/Year/e-Loan YYYY-CROX 2025.xls</x:v>
      </x:c>
    </x:row>
    <x:row r="389" ht="25" customHeight="1">
      <x:c r="A389" s="3" t="str">
        <x:v>CROCS, INC.</x:v>
      </x:c>
      <x:c r="B389" s="3" t="str">
        <x:v>2024-01-01~2024-12-31</x:v>
      </x:c>
      <x:c r="C389" s="3" t="str">
        <x:v>2024-12-31</x:v>
      </x:c>
      <x:c r="D389" s="3" t="str">
        <x:v>LTM EBITDA</x:v>
      </x:c>
      <x:c r="E389" s="6" t="n">
        <x:f>'計算底稿'!P40</x:f>
        <x:v>1089689</x:v>
      </x:c>
      <x:c r="F389" s="3" t="str">
        <x:v>USD  thousand</x:v>
      </x:c>
      <x:c r="G389" s="3" t="str">
        <x:v>推算值</x:v>
      </x:c>
      <x:c r="H389" s="3" t="str">
        <x:v>Report1!M111, Report1!M106, Report1!M121</x:v>
      </x:c>
      <x:c r="I389" s="3" t="str">
        <x:v>全年：當年EBITDA；期中：前全年＋本YTD−前YTD</x:v>
      </x:c>
      <x:c r="J389" s="3" t="str">
        <x:v>計算底稿!P40</x:v>
      </x:c>
      <x:c r="K389" s="3" t="str">
        <x:v>期中缺前同期則資料不足；不採YTD×2或×4。</x:v>
      </x:c>
      <x:c r="L389" s="3" t="str">
        <x:v>/Users/yuntzuyu/Downloads/e-loan/Year/e-Loan YYYY-CROX 2025.xls</x:v>
      </x:c>
    </x:row>
    <x:row r="390" ht="25" customHeight="1">
      <x:c r="A390" s="3" t="str">
        <x:v>CROCS, INC.</x:v>
      </x:c>
      <x:c r="B390" s="3" t="str">
        <x:v>2024-01-01~2024-12-31</x:v>
      </x:c>
      <x:c r="C390" s="3" t="str">
        <x:v>2024-12-31</x:v>
      </x:c>
      <x:c r="D390" s="3" t="str">
        <x:v>Total leverage ratio</x:v>
      </x:c>
      <x:c r="E390" s="8" t="n">
        <x:f>'計算底稿'!Q40</x:f>
        <x:v>1.2382789951995479</x:v>
      </x:c>
      <x:c r="F390" s="3" t="str">
        <x:v>倍</x:v>
      </x:c>
      <x:c r="G390" s="3" t="str">
        <x:v>推算值／非契約倍數</x:v>
      </x:c>
      <x:c r="H390" s="3" t="str">
        <x:v>Report1!M41, Report1!M43, Report1!M55, Report1!M56, Report1!M111, Report1!M106, Report1!M121</x:v>
      </x:c>
      <x:c r="I390" s="3" t="str">
        <x:v>期末列示債務合計÷LTM EBITDA</x:v>
      </x:c>
      <x:c r="J390" s="3" t="str">
        <x:v>計算底稿!Q40</x:v>
      </x:c>
      <x:c r="K390" s="3" t="str">
        <x:v>未扣現金；不含未辨識租賃；EBITDA≤0時標示不具意義。</x:v>
      </x:c>
      <x:c r="L390" s="3" t="str">
        <x:v>/Users/yuntzuyu/Downloads/e-loan/Year/e-Loan YYYY-CROX 2025.xls</x:v>
      </x:c>
    </x:row>
    <x:row r="391" ht="25" customHeight="1">
      <x:c r="A391" s="3" t="str">
        <x:v>CROCS, INC.</x:v>
      </x:c>
      <x:c r="B391" s="3" t="str">
        <x:v>2025-01-01~2025-12-31</x:v>
      </x:c>
      <x:c r="C391" s="3" t="str">
        <x:v>2025-12-31</x:v>
      </x:c>
      <x:c r="D391" s="3" t="str">
        <x:v>Cost of revenues</x:v>
      </x:c>
      <x:c r="E391" s="6" t="n">
        <x:f>'計算底稿'!F41</x:f>
        <x:v>1683592</x:v>
      </x:c>
      <x:c r="F391" s="3" t="str">
        <x:v>USD  thousand</x:v>
      </x:c>
      <x:c r="G391" s="3" t="str">
        <x:v>原始報表數字</x:v>
      </x:c>
      <x:c r="H391" s="3" t="str">
        <x:v>Report1!R86</x:v>
      </x:c>
      <x:c r="I391" s="3" t="str">
        <x:v>營收−毛利（驗算）</x:v>
      </x:c>
      <x:c r="J391" s="3" t="str">
        <x:v>計算底稿!F41</x:v>
      </x:c>
      <x:c r="K391" s="3" t="str">
        <x:v>對應Operating Cost/COGS；缺成本細項。</x:v>
      </x:c>
      <x:c r="L391" s="3" t="str">
        <x:v>/Users/yuntzuyu/Downloads/e-loan/Year/e-Loan YYYY-CROX 2025.xls</x:v>
      </x:c>
    </x:row>
    <x:row r="392" ht="25" customHeight="1">
      <x:c r="A392" s="3" t="str">
        <x:v>CROCS, INC.</x:v>
      </x:c>
      <x:c r="B392" s="3" t="str">
        <x:v>2025-01-01~2025-12-31</x:v>
      </x:c>
      <x:c r="C392" s="3" t="str">
        <x:v>2025-12-31</x:v>
      </x:c>
      <x:c r="D392" s="3" t="str">
        <x:v>Gross profit</x:v>
      </x:c>
      <x:c r="E392" s="6" t="n">
        <x:f>'計算底稿'!G41</x:f>
        <x:v>2357055</x:v>
      </x:c>
      <x:c r="F392" s="3" t="str">
        <x:v>USD  thousand</x:v>
      </x:c>
      <x:c r="G392" s="3" t="str">
        <x:v>原始報表數字</x:v>
      </x:c>
      <x:c r="H392" s="3" t="str">
        <x:v>Report1!R94, Report1!R80, Report1!R86</x:v>
      </x:c>
      <x:c r="I392" s="3" t="str">
        <x:v>營收−營收成本</x:v>
      </x:c>
      <x:c r="J392" s="3" t="str">
        <x:v>計算底稿!G41</x:v>
      </x:c>
      <x:c r="K392" s="3" t="str">
        <x:v>原值與驗算一致。</x:v>
      </x:c>
      <x:c r="L392" s="3" t="str">
        <x:v>/Users/yuntzuyu/Downloads/e-loan/Year/e-Loan YYYY-CROX 2025.xls</x:v>
      </x:c>
    </x:row>
    <x:row r="393" ht="25" customHeight="1">
      <x:c r="A393" s="3" t="str">
        <x:v>CROCS, INC.</x:v>
      </x:c>
      <x:c r="B393" s="3" t="str">
        <x:v>2025-01-01~2025-12-31</x:v>
      </x:c>
      <x:c r="C393" s="3" t="str">
        <x:v>2025-12-31</x:v>
      </x:c>
      <x:c r="D393" s="3" t="str">
        <x:v>Operating expense</x:v>
      </x:c>
      <x:c r="E393" s="6" t="n">
        <x:f>'計算底稿'!H41</x:f>
        <x:v>2207540</x:v>
      </x:c>
      <x:c r="F393" s="3" t="str">
        <x:v>USD  thousand</x:v>
      </x:c>
      <x:c r="G393" s="3" t="str">
        <x:v>原始報表數字</x:v>
      </x:c>
      <x:c r="H393" s="3" t="str">
        <x:v>Report1!R96, Report1!R94, Report1!R97</x:v>
      </x:c>
      <x:c r="I393" s="3" t="str">
        <x:v>毛利−營業利益（驗算）</x:v>
      </x:c>
      <x:c r="J393" s="3" t="str">
        <x:v>計算底稿!H41</x:v>
      </x:c>
      <x:c r="K393" s="3" t="str">
        <x:v>缺銷管、研發、減損等細分。</x:v>
      </x:c>
      <x:c r="L393" s="3" t="str">
        <x:v>/Users/yuntzuyu/Downloads/e-loan/Year/e-Loan YYYY-CROX 2025.xls</x:v>
      </x:c>
    </x:row>
    <x:row r="394" ht="25" customHeight="1">
      <x:c r="A394" s="3" t="str">
        <x:v>CROCS, INC.</x:v>
      </x:c>
      <x:c r="B394" s="3" t="str">
        <x:v>2025-01-01~2025-12-31</x:v>
      </x:c>
      <x:c r="C394" s="3" t="str">
        <x:v>2025-12-31</x:v>
      </x:c>
      <x:c r="D394" s="3" t="str">
        <x:v>Interest expense</x:v>
      </x:c>
      <x:c r="E394" s="6" t="n">
        <x:f>'計算底稿'!I41</x:f>
        <x:v>88287</x:v>
      </x:c>
      <x:c r="F394" s="3" t="str">
        <x:v>USD  thousand</x:v>
      </x:c>
      <x:c r="G394" s="3" t="str">
        <x:v>原始報表數字</x:v>
      </x:c>
      <x:c r="H394" s="3" t="str">
        <x:v>Report1!R106</x:v>
      </x:c>
      <x:c r="I394" s="3" t="str">
        <x:v>直接取原報表第106列</x:v>
      </x:c>
      <x:c r="J394" s="3" t="str">
        <x:v>計算底稿!I41</x:v>
      </x:c>
      <x:c r="K394" s="3" t="str">
        <x:v>屬應計費用；不是現金付息，也不以期末債務×利率替代。</x:v>
      </x:c>
      <x:c r="L394" s="3" t="str">
        <x:v>/Users/yuntzuyu/Downloads/e-loan/Year/e-Loan YYYY-CROX 2025.xls</x:v>
      </x:c>
    </x:row>
    <x:row r="395" ht="25" customHeight="1">
      <x:c r="A395" s="3" t="str">
        <x:v>CROCS, INC.</x:v>
      </x:c>
      <x:c r="B395" s="3" t="str">
        <x:v>2025-01-01~2025-12-31</x:v>
      </x:c>
      <x:c r="C395" s="3" t="str">
        <x:v>2025-12-31</x:v>
      </x:c>
      <x:c r="D395" s="3" t="str">
        <x:v>Quick ratio</x:v>
      </x:c>
      <x:c r="E395" s="7" t="n">
        <x:f>'計算底稿'!J41</x:f>
        <x:v>0.5835</x:v>
      </x:c>
      <x:c r="F395" s="3" t="str">
        <x:v>%</x:v>
      </x:c>
      <x:c r="G395" s="3" t="str">
        <x:v>原始報表數字</x:v>
      </x:c>
      <x:c r="H395" s="3" t="str">
        <x:v>Report1!R198, Report1!R11, Report1!R12, Report1!R13, Report1!R40</x:v>
      </x:c>
      <x:c r="I395" s="3" t="str">
        <x:v>(現金＋流動金融資產＋應收款項)÷流動負債</x:v>
      </x:c>
      <x:c r="J395" s="3" t="str">
        <x:v>計算底稿!J41</x:v>
      </x:c>
      <x:c r="K395" s="3" t="str">
        <x:v>原值為百分比；非直接以流動資產扣存貨。</x:v>
      </x:c>
      <x:c r="L395" s="3" t="str">
        <x:v>/Users/yuntzuyu/Downloads/e-loan/Year/e-Loan YYYY-CROX 2025.xls</x:v>
      </x:c>
    </x:row>
    <x:row r="396" ht="25" customHeight="1">
      <x:c r="A396" s="3" t="str">
        <x:v>CROCS, INC.</x:v>
      </x:c>
      <x:c r="B396" s="3" t="str">
        <x:v>2025-01-01~2025-12-31</x:v>
      </x:c>
      <x:c r="C396" s="3" t="str">
        <x:v>2025-12-31</x:v>
      </x:c>
      <x:c r="D396" s="3" t="str">
        <x:v>Debt ratio</x:v>
      </x:c>
      <x:c r="E396" s="7" t="n">
        <x:f>'計算底稿'!K41</x:f>
        <x:v>2.228</x:v>
      </x:c>
      <x:c r="F396" s="3" t="str">
        <x:v>%</x:v>
      </x:c>
      <x:c r="G396" s="3" t="str">
        <x:v>原始報表數字</x:v>
      </x:c>
      <x:c r="H396" s="3" t="str">
        <x:v>Report1!R203, Report1!R62, Report1!R70</x:v>
      </x:c>
      <x:c r="I396" s="3" t="str">
        <x:v>總負債÷淨值</x:v>
      </x:c>
      <x:c r="J396" s="3" t="str">
        <x:v>計算底稿!K41</x:v>
      </x:c>
      <x:c r="K396" s="3" t="str">
        <x:v>實際為負債淨值比；非負債資產比，亦非有息債務比。</x:v>
      </x:c>
      <x:c r="L396" s="3" t="str">
        <x:v>/Users/yuntzuyu/Downloads/e-loan/Year/e-Loan YYYY-CROX 2025.xls</x:v>
      </x:c>
    </x:row>
    <x:row r="397" ht="25" customHeight="1">
      <x:c r="A397" s="3" t="str">
        <x:v>CROCS, INC.</x:v>
      </x:c>
      <x:c r="B397" s="3" t="str">
        <x:v>2025-01-01~2025-12-31</x:v>
      </x:c>
      <x:c r="C397" s="3" t="str">
        <x:v>2025-12-31</x:v>
      </x:c>
      <x:c r="D397" s="3" t="str">
        <x:v>Total debt</x:v>
      </x:c>
      <x:c r="E397" s="6" t="n">
        <x:f>'計算底稿'!L41</x:f>
        <x:v>1230885</x:v>
      </x:c>
      <x:c r="F397" s="3" t="str">
        <x:v>USD  thousand</x:v>
      </x:c>
      <x:c r="G397" s="3" t="str">
        <x:v>推算值／列示項目小計</x:v>
      </x:c>
      <x:c r="H397" s="3" t="str">
        <x:v>Report1!R41, Report1!R43, Report1!R55, Report1!R56</x:v>
      </x:c>
      <x:c r="I397" s="3" t="str">
        <x:v>短期借款＋一年內到期長債＋長期銀行借款＋公司債</x:v>
      </x:c>
      <x:c r="J397" s="3" t="str">
        <x:v>計算底稿!L41</x:v>
      </x:c>
      <x:c r="K397" s="3" t="str">
        <x:v>空白項未計入；租賃等未另加，非契約確認總債務。</x:v>
      </x:c>
      <x:c r="L397" s="3" t="str">
        <x:v>/Users/yuntzuyu/Downloads/e-loan/Year/e-Loan YYYY-CROX 2025.xls</x:v>
      </x:c>
    </x:row>
    <x:row r="398" ht="25" customHeight="1">
      <x:c r="A398" s="3" t="str">
        <x:v>CROCS, INC.</x:v>
      </x:c>
      <x:c r="B398" s="3" t="str">
        <x:v>2025-01-01~2025-12-31</x:v>
      </x:c>
      <x:c r="C398" s="3" t="str">
        <x:v>2025-12-31</x:v>
      </x:c>
      <x:c r="D398" s="3" t="str">
        <x:v>EBITDA（報表口徑）</x:v>
      </x:c>
      <x:c r="E398" s="6" t="n">
        <x:f>'計算底稿'!M41</x:f>
        <x:v>240547</x:v>
      </x:c>
      <x:c r="F398" s="3" t="str">
        <x:v>USD  thousand</x:v>
      </x:c>
      <x:c r="G398" s="3" t="str">
        <x:v>推算值</x:v>
      </x:c>
      <x:c r="H398" s="3" t="str">
        <x:v>Report1!R111, Report1!R106, Report1!R121, Report1!R201</x:v>
      </x:c>
      <x:c r="I398" s="3" t="str">
        <x:v>稅前損益＋利息費用＋折舊攤銷</x:v>
      </x:c>
      <x:c r="J398" s="3" t="str">
        <x:v>計算底稿!M41</x:v>
      </x:c>
      <x:c r="K398" s="3" t="str">
        <x:v>可重現原表EBITDA/Interest；含業外損益。</x:v>
      </x:c>
      <x:c r="L398" s="3" t="str">
        <x:v>/Users/yuntzuyu/Downloads/e-loan/Year/e-Loan YYYY-CROX 2025.xls</x:v>
      </x:c>
    </x:row>
    <x:row r="399" ht="25" customHeight="1">
      <x:c r="A399" s="3" t="str">
        <x:v>CROCS, INC.</x:v>
      </x:c>
      <x:c r="B399" s="3" t="str">
        <x:v>2025-01-01~2025-12-31</x:v>
      </x:c>
      <x:c r="C399" s="3" t="str">
        <x:v>2025-12-31</x:v>
      </x:c>
      <x:c r="D399" s="3" t="str">
        <x:v>EBITDA basis</x:v>
      </x:c>
      <x:c r="E399" s="3" t="str">
        <x:v>稅前損益＋利息＋折舊攤銷</x:v>
      </x:c>
      <x:c r="F399" s="3" t="str">
        <x:v>文字</x:v>
      </x:c>
      <x:c r="G399" s="3" t="str">
        <x:v>口徑說明</x:v>
      </x:c>
      <x:c r="H399" s="3" t="str">
        <x:v>Report1!R111, Report1!R106, Report1!R121</x:v>
      </x:c>
      <x:c r="I399" s="3" t="str">
        <x:v>稅前損益＋利息費用＋折舊攤銷</x:v>
      </x:c>
      <x:c r="J399" s="3" t="str">
        <x:v>計算底稿!M41</x:v>
      </x:c>
      <x:c r="K399" s="3" t="str">
        <x:v>本列為文字定義；不代表Adjusted或契約EBITDA。</x:v>
      </x:c>
      <x:c r="L399" s="3" t="str">
        <x:v>/Users/yuntzuyu/Downloads/e-loan/Year/e-Loan YYYY-CROX 2025.xls</x:v>
      </x:c>
    </x:row>
    <x:row r="400" ht="25" customHeight="1">
      <x:c r="A400" s="3" t="str">
        <x:v>CROCS, INC.</x:v>
      </x:c>
      <x:c r="B400" s="3" t="str">
        <x:v>2025-01-01~2025-12-31</x:v>
      </x:c>
      <x:c r="C400" s="3" t="str">
        <x:v>2025-12-31</x:v>
      </x:c>
      <x:c r="D400" s="3" t="str">
        <x:v>LTM EBITDA</x:v>
      </x:c>
      <x:c r="E400" s="6" t="n">
        <x:f>'計算底稿'!P41</x:f>
        <x:v>240547</x:v>
      </x:c>
      <x:c r="F400" s="3" t="str">
        <x:v>USD  thousand</x:v>
      </x:c>
      <x:c r="G400" s="3" t="str">
        <x:v>推算值</x:v>
      </x:c>
      <x:c r="H400" s="3" t="str">
        <x:v>Report1!R111, Report1!R106, Report1!R121</x:v>
      </x:c>
      <x:c r="I400" s="3" t="str">
        <x:v>全年：當年EBITDA；期中：前全年＋本YTD−前YTD</x:v>
      </x:c>
      <x:c r="J400" s="3" t="str">
        <x:v>計算底稿!P41</x:v>
      </x:c>
      <x:c r="K400" s="3" t="str">
        <x:v>期中缺前同期則資料不足；不採YTD×2或×4。</x:v>
      </x:c>
      <x:c r="L400" s="3" t="str">
        <x:v>/Users/yuntzuyu/Downloads/e-loan/Year/e-Loan YYYY-CROX 2025.xls</x:v>
      </x:c>
    </x:row>
    <x:row r="401" ht="25" customHeight="1">
      <x:c r="A401" s="3" t="str">
        <x:v>CROCS, INC.</x:v>
      </x:c>
      <x:c r="B401" s="3" t="str">
        <x:v>2025-01-01~2025-12-31</x:v>
      </x:c>
      <x:c r="C401" s="3" t="str">
        <x:v>2025-12-31</x:v>
      </x:c>
      <x:c r="D401" s="3" t="str">
        <x:v>Total leverage ratio</x:v>
      </x:c>
      <x:c r="E401" s="8" t="n">
        <x:f>'計算底稿'!Q41</x:f>
        <x:v>5.117024947307595</x:v>
      </x:c>
      <x:c r="F401" s="3" t="str">
        <x:v>倍</x:v>
      </x:c>
      <x:c r="G401" s="3" t="str">
        <x:v>推算值／非契約倍數</x:v>
      </x:c>
      <x:c r="H401" s="3" t="str">
        <x:v>Report1!R41, Report1!R43, Report1!R55, Report1!R56, Report1!R111, Report1!R106, Report1!R121</x:v>
      </x:c>
      <x:c r="I401" s="3" t="str">
        <x:v>期末列示債務合計÷LTM EBITDA</x:v>
      </x:c>
      <x:c r="J401" s="3" t="str">
        <x:v>計算底稿!Q41</x:v>
      </x:c>
      <x:c r="K401" s="3" t="str">
        <x:v>未扣現金；不含未辨識租賃；EBITDA≤0時標示不具意義。</x:v>
      </x:c>
      <x:c r="L401" s="3" t="str">
        <x:v>/Users/yuntzuyu/Downloads/e-loan/Year/e-Loan YYYY-CROX 2025.xls</x:v>
      </x:c>
    </x:row>
    <x:row r="402" ht="25" customHeight="1">
      <x:c r="A402" s="3" t="str">
        <x:v>INSULET CORPORATION</x:v>
      </x:c>
      <x:c r="B402" s="3" t="str">
        <x:v>2022-01-01~2022-12-31</x:v>
      </x:c>
      <x:c r="C402" s="3" t="str">
        <x:v>2022-12-31</x:v>
      </x:c>
      <x:c r="D402" s="3" t="str">
        <x:v>Cost of revenues</x:v>
      </x:c>
      <x:c r="E402" s="6" t="n">
        <x:f>'計算底稿'!F42</x:f>
        <x:v>500</x:v>
      </x:c>
      <x:c r="F402" s="3" t="str">
        <x:v>USD  million</x:v>
      </x:c>
      <x:c r="G402" s="3" t="str">
        <x:v>原始報表數字</x:v>
      </x:c>
      <x:c r="H402" s="3" t="str">
        <x:v>Report1!D86</x:v>
      </x:c>
      <x:c r="I402" s="3" t="str">
        <x:v>營收−毛利（驗算）</x:v>
      </x:c>
      <x:c r="J402" s="3" t="str">
        <x:v>計算底稿!F42</x:v>
      </x:c>
      <x:c r="K402" s="3" t="str">
        <x:v>對應Operating Cost/COGS；缺成本細項。</x:v>
      </x:c>
      <x:c r="L402" s="3" t="str">
        <x:v>/Users/yuntzuyu/Downloads/e-loan/Year/e-Loan YYYY-Insulet 2025.xls</x:v>
      </x:c>
    </x:row>
    <x:row r="403" ht="25" customHeight="1">
      <x:c r="A403" s="3" t="str">
        <x:v>INSULET CORPORATION</x:v>
      </x:c>
      <x:c r="B403" s="3" t="str">
        <x:v>2022-01-01~2022-12-31</x:v>
      </x:c>
      <x:c r="C403" s="3" t="str">
        <x:v>2022-12-31</x:v>
      </x:c>
      <x:c r="D403" s="3" t="str">
        <x:v>Gross profit</x:v>
      </x:c>
      <x:c r="E403" s="6" t="n">
        <x:f>'計算底稿'!G42</x:f>
        <x:v>805</x:v>
      </x:c>
      <x:c r="F403" s="3" t="str">
        <x:v>USD  million</x:v>
      </x:c>
      <x:c r="G403" s="3" t="str">
        <x:v>原始報表數字</x:v>
      </x:c>
      <x:c r="H403" s="3" t="str">
        <x:v>Report1!D94, Report1!D80, Report1!D86</x:v>
      </x:c>
      <x:c r="I403" s="3" t="str">
        <x:v>營收−營收成本</x:v>
      </x:c>
      <x:c r="J403" s="3" t="str">
        <x:v>計算底稿!G42</x:v>
      </x:c>
      <x:c r="K403" s="3" t="str">
        <x:v>原值與驗算一致。</x:v>
      </x:c>
      <x:c r="L403" s="3" t="str">
        <x:v>/Users/yuntzuyu/Downloads/e-loan/Year/e-Loan YYYY-Insulet 2025.xls</x:v>
      </x:c>
    </x:row>
    <x:row r="404" ht="25" customHeight="1">
      <x:c r="A404" s="3" t="str">
        <x:v>INSULET CORPORATION</x:v>
      </x:c>
      <x:c r="B404" s="3" t="str">
        <x:v>2022-01-01~2022-12-31</x:v>
      </x:c>
      <x:c r="C404" s="3" t="str">
        <x:v>2022-12-31</x:v>
      </x:c>
      <x:c r="D404" s="3" t="str">
        <x:v>Operating expense</x:v>
      </x:c>
      <x:c r="E404" s="6" t="n">
        <x:f>'計算底稿'!H42</x:f>
        <x:v>768</x:v>
      </x:c>
      <x:c r="F404" s="3" t="str">
        <x:v>USD  million</x:v>
      </x:c>
      <x:c r="G404" s="3" t="str">
        <x:v>原始報表數字</x:v>
      </x:c>
      <x:c r="H404" s="3" t="str">
        <x:v>Report1!D96, Report1!D94, Report1!D97</x:v>
      </x:c>
      <x:c r="I404" s="3" t="str">
        <x:v>毛利−營業利益（驗算）</x:v>
      </x:c>
      <x:c r="J404" s="3" t="str">
        <x:v>計算底稿!H42</x:v>
      </x:c>
      <x:c r="K404" s="3" t="str">
        <x:v>缺銷管、研發、減損等細分。</x:v>
      </x:c>
      <x:c r="L404" s="3" t="str">
        <x:v>/Users/yuntzuyu/Downloads/e-loan/Year/e-Loan YYYY-Insulet 2025.xls</x:v>
      </x:c>
    </x:row>
    <x:row r="405" ht="25" customHeight="1">
      <x:c r="A405" s="3" t="str">
        <x:v>INSULET CORPORATION</x:v>
      </x:c>
      <x:c r="B405" s="3" t="str">
        <x:v>2022-01-01~2022-12-31</x:v>
      </x:c>
      <x:c r="C405" s="3" t="str">
        <x:v>2022-12-31</x:v>
      </x:c>
      <x:c r="D405" s="3" t="str">
        <x:v>Interest expense</x:v>
      </x:c>
      <x:c r="E405" s="6" t="n">
        <x:f>'計算底稿'!I42</x:f>
        <x:v>36</x:v>
      </x:c>
      <x:c r="F405" s="3" t="str">
        <x:v>USD  million</x:v>
      </x:c>
      <x:c r="G405" s="3" t="str">
        <x:v>原始報表數字</x:v>
      </x:c>
      <x:c r="H405" s="3" t="str">
        <x:v>Report1!D106</x:v>
      </x:c>
      <x:c r="I405" s="3" t="str">
        <x:v>直接取原報表第106列</x:v>
      </x:c>
      <x:c r="J405" s="3" t="str">
        <x:v>計算底稿!I42</x:v>
      </x:c>
      <x:c r="K405" s="3" t="str">
        <x:v>屬應計費用；不是現金付息，也不以期末債務×利率替代。</x:v>
      </x:c>
      <x:c r="L405" s="3" t="str">
        <x:v>/Users/yuntzuyu/Downloads/e-loan/Year/e-Loan YYYY-Insulet 2025.xls</x:v>
      </x:c>
    </x:row>
    <x:row r="406" ht="25" customHeight="1">
      <x:c r="A406" s="3" t="str">
        <x:v>INSULET CORPORATION</x:v>
      </x:c>
      <x:c r="B406" s="3" t="str">
        <x:v>2022-01-01~2022-12-31</x:v>
      </x:c>
      <x:c r="C406" s="3" t="str">
        <x:v>2022-12-31</x:v>
      </x:c>
      <x:c r="D406" s="3" t="str">
        <x:v>Quick ratio</x:v>
      </x:c>
      <x:c r="E406" s="7" t="n">
        <x:f>'計算底稿'!J42</x:f>
        <x:v>2.411</x:v>
      </x:c>
      <x:c r="F406" s="3" t="str">
        <x:v>%</x:v>
      </x:c>
      <x:c r="G406" s="3" t="str">
        <x:v>原始報表數字</x:v>
      </x:c>
      <x:c r="H406" s="3" t="str">
        <x:v>Report1!D198, Report1!D11, Report1!D12, Report1!D13, Report1!D40</x:v>
      </x:c>
      <x:c r="I406" s="3" t="str">
        <x:v>(現金＋流動金融資產＋應收款項)÷流動負債</x:v>
      </x:c>
      <x:c r="J406" s="3" t="str">
        <x:v>計算底稿!J42</x:v>
      </x:c>
      <x:c r="K406" s="3" t="str">
        <x:v>原值為百分比；非直接以流動資產扣存貨。</x:v>
      </x:c>
      <x:c r="L406" s="3" t="str">
        <x:v>/Users/yuntzuyu/Downloads/e-loan/Year/e-Loan YYYY-Insulet 2025.xls</x:v>
      </x:c>
    </x:row>
    <x:row r="407" ht="25" customHeight="1">
      <x:c r="A407" s="3" t="str">
        <x:v>INSULET CORPORATION</x:v>
      </x:c>
      <x:c r="B407" s="3" t="str">
        <x:v>2022-01-01~2022-12-31</x:v>
      </x:c>
      <x:c r="C407" s="3" t="str">
        <x:v>2022-12-31</x:v>
      </x:c>
      <x:c r="D407" s="3" t="str">
        <x:v>Debt ratio</x:v>
      </x:c>
      <x:c r="E407" s="7" t="n">
        <x:f>'計算底稿'!K42</x:f>
        <x:v>3.7212</x:v>
      </x:c>
      <x:c r="F407" s="3" t="str">
        <x:v>%</x:v>
      </x:c>
      <x:c r="G407" s="3" t="str">
        <x:v>原始報表數字</x:v>
      </x:c>
      <x:c r="H407" s="3" t="str">
        <x:v>Report1!D203, Report1!D62, Report1!D70</x:v>
      </x:c>
      <x:c r="I407" s="3" t="str">
        <x:v>總負債÷淨值</x:v>
      </x:c>
      <x:c r="J407" s="3" t="str">
        <x:v>計算底稿!K42</x:v>
      </x:c>
      <x:c r="K407" s="3" t="str">
        <x:v>實際為負債淨值比；非負債資產比，亦非有息債務比。</x:v>
      </x:c>
      <x:c r="L407" s="3" t="str">
        <x:v>/Users/yuntzuyu/Downloads/e-loan/Year/e-Loan YYYY-Insulet 2025.xls</x:v>
      </x:c>
    </x:row>
    <x:row r="408" ht="25" customHeight="1">
      <x:c r="A408" s="3" t="str">
        <x:v>INSULET CORPORATION</x:v>
      </x:c>
      <x:c r="B408" s="3" t="str">
        <x:v>2022-01-01~2022-12-31</x:v>
      </x:c>
      <x:c r="C408" s="3" t="str">
        <x:v>2022-12-31</x:v>
      </x:c>
      <x:c r="D408" s="3" t="str">
        <x:v>Total debt</x:v>
      </x:c>
      <x:c r="E408" s="6" t="n">
        <x:f>'計算底稿'!L42</x:f>
        <x:v>1286</x:v>
      </x:c>
      <x:c r="F408" s="3" t="str">
        <x:v>USD  million</x:v>
      </x:c>
      <x:c r="G408" s="3" t="str">
        <x:v>推算值／列示項目小計</x:v>
      </x:c>
      <x:c r="H408" s="3" t="str">
        <x:v>Report1!D41, Report1!D43, Report1!D55, Report1!D56</x:v>
      </x:c>
      <x:c r="I408" s="3" t="str">
        <x:v>短期借款＋一年內到期長債＋長期銀行借款＋公司債</x:v>
      </x:c>
      <x:c r="J408" s="3" t="str">
        <x:v>計算底稿!L42</x:v>
      </x:c>
      <x:c r="K408" s="3" t="str">
        <x:v>空白項未計入；租賃等未另加，非契約確認總債務。</x:v>
      </x:c>
      <x:c r="L408" s="3" t="str">
        <x:v>/Users/yuntzuyu/Downloads/e-loan/Year/e-Loan YYYY-Insulet 2025.xls</x:v>
      </x:c>
    </x:row>
    <x:row r="409" ht="25" customHeight="1">
      <x:c r="A409" s="3" t="str">
        <x:v>INSULET CORPORATION</x:v>
      </x:c>
      <x:c r="B409" s="3" t="str">
        <x:v>2022-01-01~2022-12-31</x:v>
      </x:c>
      <x:c r="C409" s="3" t="str">
        <x:v>2022-12-31</x:v>
      </x:c>
      <x:c r="D409" s="3" t="str">
        <x:v>EBITDA（報表口徑）</x:v>
      </x:c>
      <x:c r="E409" s="6" t="n">
        <x:f>'計算底稿'!M42</x:f>
        <x:v>109</x:v>
      </x:c>
      <x:c r="F409" s="3" t="str">
        <x:v>USD  million</x:v>
      </x:c>
      <x:c r="G409" s="3" t="str">
        <x:v>推算值</x:v>
      </x:c>
      <x:c r="H409" s="3" t="str">
        <x:v>Report1!D111, Report1!D106, Report1!D121, Report1!D201</x:v>
      </x:c>
      <x:c r="I409" s="3" t="str">
        <x:v>稅前損益＋利息費用＋折舊攤銷</x:v>
      </x:c>
      <x:c r="J409" s="3" t="str">
        <x:v>計算底稿!M42</x:v>
      </x:c>
      <x:c r="K409" s="3" t="str">
        <x:v>可重現原表EBITDA/Interest；含業外損益。</x:v>
      </x:c>
      <x:c r="L409" s="3" t="str">
        <x:v>/Users/yuntzuyu/Downloads/e-loan/Year/e-Loan YYYY-Insulet 2025.xls</x:v>
      </x:c>
    </x:row>
    <x:row r="410" ht="25" customHeight="1">
      <x:c r="A410" s="3" t="str">
        <x:v>INSULET CORPORATION</x:v>
      </x:c>
      <x:c r="B410" s="3" t="str">
        <x:v>2022-01-01~2022-12-31</x:v>
      </x:c>
      <x:c r="C410" s="3" t="str">
        <x:v>2022-12-31</x:v>
      </x:c>
      <x:c r="D410" s="3" t="str">
        <x:v>EBITDA basis</x:v>
      </x:c>
      <x:c r="E410" s="3" t="str">
        <x:v>稅前損益＋利息＋折舊攤銷</x:v>
      </x:c>
      <x:c r="F410" s="3" t="str">
        <x:v>文字</x:v>
      </x:c>
      <x:c r="G410" s="3" t="str">
        <x:v>口徑說明</x:v>
      </x:c>
      <x:c r="H410" s="3" t="str">
        <x:v>Report1!D111, Report1!D106, Report1!D121</x:v>
      </x:c>
      <x:c r="I410" s="3" t="str">
        <x:v>稅前損益＋利息費用＋折舊攤銷</x:v>
      </x:c>
      <x:c r="J410" s="3" t="str">
        <x:v>計算底稿!M42</x:v>
      </x:c>
      <x:c r="K410" s="3" t="str">
        <x:v>本列為文字定義；不代表Adjusted或契約EBITDA。</x:v>
      </x:c>
      <x:c r="L410" s="3" t="str">
        <x:v>/Users/yuntzuyu/Downloads/e-loan/Year/e-Loan YYYY-Insulet 2025.xls</x:v>
      </x:c>
    </x:row>
    <x:row r="411" ht="25" customHeight="1">
      <x:c r="A411" s="3" t="str">
        <x:v>INSULET CORPORATION</x:v>
      </x:c>
      <x:c r="B411" s="3" t="str">
        <x:v>2022-01-01~2022-12-31</x:v>
      </x:c>
      <x:c r="C411" s="3" t="str">
        <x:v>2022-12-31</x:v>
      </x:c>
      <x:c r="D411" s="3" t="str">
        <x:v>LTM EBITDA</x:v>
      </x:c>
      <x:c r="E411" s="6" t="n">
        <x:f>'計算底稿'!P42</x:f>
        <x:v>109</x:v>
      </x:c>
      <x:c r="F411" s="3" t="str">
        <x:v>USD  million</x:v>
      </x:c>
      <x:c r="G411" s="3" t="str">
        <x:v>推算值</x:v>
      </x:c>
      <x:c r="H411" s="3" t="str">
        <x:v>Report1!D111, Report1!D106, Report1!D121</x:v>
      </x:c>
      <x:c r="I411" s="3" t="str">
        <x:v>全年：當年EBITDA；期中：前全年＋本YTD−前YTD</x:v>
      </x:c>
      <x:c r="J411" s="3" t="str">
        <x:v>計算底稿!P42</x:v>
      </x:c>
      <x:c r="K411" s="3" t="str">
        <x:v>期中缺前同期則資料不足；不採YTD×2或×4。</x:v>
      </x:c>
      <x:c r="L411" s="3" t="str">
        <x:v>/Users/yuntzuyu/Downloads/e-loan/Year/e-Loan YYYY-Insulet 2025.xls</x:v>
      </x:c>
    </x:row>
    <x:row r="412" ht="25" customHeight="1">
      <x:c r="A412" s="3" t="str">
        <x:v>INSULET CORPORATION</x:v>
      </x:c>
      <x:c r="B412" s="3" t="str">
        <x:v>2022-01-01~2022-12-31</x:v>
      </x:c>
      <x:c r="C412" s="3" t="str">
        <x:v>2022-12-31</x:v>
      </x:c>
      <x:c r="D412" s="3" t="str">
        <x:v>Total leverage ratio</x:v>
      </x:c>
      <x:c r="E412" s="8" t="n">
        <x:f>'計算底稿'!Q42</x:f>
        <x:v>11.79816513761468</x:v>
      </x:c>
      <x:c r="F412" s="3" t="str">
        <x:v>倍</x:v>
      </x:c>
      <x:c r="G412" s="3" t="str">
        <x:v>推算值／非契約倍數</x:v>
      </x:c>
      <x:c r="H412" s="3" t="str">
        <x:v>Report1!D41, Report1!D43, Report1!D55, Report1!D56, Report1!D111, Report1!D106, Report1!D121</x:v>
      </x:c>
      <x:c r="I412" s="3" t="str">
        <x:v>期末列示債務合計÷LTM EBITDA</x:v>
      </x:c>
      <x:c r="J412" s="3" t="str">
        <x:v>計算底稿!Q42</x:v>
      </x:c>
      <x:c r="K412" s="3" t="str">
        <x:v>未扣現金；不含未辨識租賃；EBITDA≤0時標示不具意義。</x:v>
      </x:c>
      <x:c r="L412" s="3" t="str">
        <x:v>/Users/yuntzuyu/Downloads/e-loan/Year/e-Loan YYYY-Insulet 2025.xls</x:v>
      </x:c>
    </x:row>
    <x:row r="413" ht="25" customHeight="1">
      <x:c r="A413" s="3" t="str">
        <x:v>INSULET CORPORATION</x:v>
      </x:c>
      <x:c r="B413" s="3" t="str">
        <x:v>2023-01-01~2023-12-31</x:v>
      </x:c>
      <x:c r="C413" s="3" t="str">
        <x:v>2023-12-31</x:v>
      </x:c>
      <x:c r="D413" s="3" t="str">
        <x:v>Cost of revenues</x:v>
      </x:c>
      <x:c r="E413" s="6" t="n">
        <x:f>'計算底稿'!F43</x:f>
        <x:v>537</x:v>
      </x:c>
      <x:c r="F413" s="3" t="str">
        <x:v>USD  million</x:v>
      </x:c>
      <x:c r="G413" s="3" t="str">
        <x:v>原始報表數字</x:v>
      </x:c>
      <x:c r="H413" s="3" t="str">
        <x:v>Report1!I86</x:v>
      </x:c>
      <x:c r="I413" s="3" t="str">
        <x:v>營收−毛利（驗算）</x:v>
      </x:c>
      <x:c r="J413" s="3" t="str">
        <x:v>計算底稿!F43</x:v>
      </x:c>
      <x:c r="K413" s="3" t="str">
        <x:v>對應Operating Cost/COGS；缺成本細項。</x:v>
      </x:c>
      <x:c r="L413" s="3" t="str">
        <x:v>/Users/yuntzuyu/Downloads/e-loan/Year/e-Loan YYYY-Insulet 2025.xls</x:v>
      </x:c>
    </x:row>
    <x:row r="414" ht="25" customHeight="1">
      <x:c r="A414" s="3" t="str">
        <x:v>INSULET CORPORATION</x:v>
      </x:c>
      <x:c r="B414" s="3" t="str">
        <x:v>2023-01-01~2023-12-31</x:v>
      </x:c>
      <x:c r="C414" s="3" t="str">
        <x:v>2023-12-31</x:v>
      </x:c>
      <x:c r="D414" s="3" t="str">
        <x:v>Gross profit</x:v>
      </x:c>
      <x:c r="E414" s="6" t="n">
        <x:f>'計算底稿'!G43</x:f>
        <x:v>1160</x:v>
      </x:c>
      <x:c r="F414" s="3" t="str">
        <x:v>USD  million</x:v>
      </x:c>
      <x:c r="G414" s="3" t="str">
        <x:v>原始報表數字</x:v>
      </x:c>
      <x:c r="H414" s="3" t="str">
        <x:v>Report1!I94, Report1!I80, Report1!I86</x:v>
      </x:c>
      <x:c r="I414" s="3" t="str">
        <x:v>營收−營收成本</x:v>
      </x:c>
      <x:c r="J414" s="3" t="str">
        <x:v>計算底稿!G43</x:v>
      </x:c>
      <x:c r="K414" s="3" t="str">
        <x:v>原值與驗算一致。</x:v>
      </x:c>
      <x:c r="L414" s="3" t="str">
        <x:v>/Users/yuntzuyu/Downloads/e-loan/Year/e-Loan YYYY-Insulet 2025.xls</x:v>
      </x:c>
    </x:row>
    <x:row r="415" ht="25" customHeight="1">
      <x:c r="A415" s="3" t="str">
        <x:v>INSULET CORPORATION</x:v>
      </x:c>
      <x:c r="B415" s="3" t="str">
        <x:v>2023-01-01~2023-12-31</x:v>
      </x:c>
      <x:c r="C415" s="3" t="str">
        <x:v>2023-12-31</x:v>
      </x:c>
      <x:c r="D415" s="3" t="str">
        <x:v>Operating expense</x:v>
      </x:c>
      <x:c r="E415" s="6" t="n">
        <x:f>'計算底稿'!H43</x:f>
        <x:v>940</x:v>
      </x:c>
      <x:c r="F415" s="3" t="str">
        <x:v>USD  million</x:v>
      </x:c>
      <x:c r="G415" s="3" t="str">
        <x:v>原始報表數字</x:v>
      </x:c>
      <x:c r="H415" s="3" t="str">
        <x:v>Report1!I96, Report1!I94, Report1!I97</x:v>
      </x:c>
      <x:c r="I415" s="3" t="str">
        <x:v>毛利−營業利益（驗算）</x:v>
      </x:c>
      <x:c r="J415" s="3" t="str">
        <x:v>計算底稿!H43</x:v>
      </x:c>
      <x:c r="K415" s="3" t="str">
        <x:v>缺銷管、研發、減損等細分。</x:v>
      </x:c>
      <x:c r="L415" s="3" t="str">
        <x:v>/Users/yuntzuyu/Downloads/e-loan/Year/e-Loan YYYY-Insulet 2025.xls</x:v>
      </x:c>
    </x:row>
    <x:row r="416" ht="25" customHeight="1">
      <x:c r="A416" s="3" t="str">
        <x:v>INSULET CORPORATION</x:v>
      </x:c>
      <x:c r="B416" s="3" t="str">
        <x:v>2023-01-01~2023-12-31</x:v>
      </x:c>
      <x:c r="C416" s="3" t="str">
        <x:v>2023-12-31</x:v>
      </x:c>
      <x:c r="D416" s="3" t="str">
        <x:v>Interest expense</x:v>
      </x:c>
      <x:c r="E416" s="6" t="n">
        <x:f>'計算底稿'!I43</x:f>
        <x:v>36</x:v>
      </x:c>
      <x:c r="F416" s="3" t="str">
        <x:v>USD  million</x:v>
      </x:c>
      <x:c r="G416" s="3" t="str">
        <x:v>原始報表數字</x:v>
      </x:c>
      <x:c r="H416" s="3" t="str">
        <x:v>Report1!I106</x:v>
      </x:c>
      <x:c r="I416" s="3" t="str">
        <x:v>直接取原報表第106列</x:v>
      </x:c>
      <x:c r="J416" s="3" t="str">
        <x:v>計算底稿!I43</x:v>
      </x:c>
      <x:c r="K416" s="3" t="str">
        <x:v>屬應計費用；不是現金付息，也不以期末債務×利率替代。</x:v>
      </x:c>
      <x:c r="L416" s="3" t="str">
        <x:v>/Users/yuntzuyu/Downloads/e-loan/Year/e-Loan YYYY-Insulet 2025.xls</x:v>
      </x:c>
    </x:row>
    <x:row r="417" ht="25" customHeight="1">
      <x:c r="A417" s="3" t="str">
        <x:v>INSULET CORPORATION</x:v>
      </x:c>
      <x:c r="B417" s="3" t="str">
        <x:v>2023-01-01~2023-12-31</x:v>
      </x:c>
      <x:c r="C417" s="3" t="str">
        <x:v>2023-12-31</x:v>
      </x:c>
      <x:c r="D417" s="3" t="str">
        <x:v>Quick ratio</x:v>
      </x:c>
      <x:c r="E417" s="7" t="n">
        <x:f>'計算底稿'!J43</x:f>
        <x:v>2.3569999999999998</x:v>
      </x:c>
      <x:c r="F417" s="3" t="str">
        <x:v>%</x:v>
      </x:c>
      <x:c r="G417" s="3" t="str">
        <x:v>原始報表數字</x:v>
      </x:c>
      <x:c r="H417" s="3" t="str">
        <x:v>Report1!I198, Report1!I11, Report1!I12, Report1!I13, Report1!I40</x:v>
      </x:c>
      <x:c r="I417" s="3" t="str">
        <x:v>(現金＋流動金融資產＋應收款項)÷流動負債</x:v>
      </x:c>
      <x:c r="J417" s="3" t="str">
        <x:v>計算底稿!J43</x:v>
      </x:c>
      <x:c r="K417" s="3" t="str">
        <x:v>原值為百分比；非直接以流動資產扣存貨。</x:v>
      </x:c>
      <x:c r="L417" s="3" t="str">
        <x:v>/Users/yuntzuyu/Downloads/e-loan/Year/e-Loan YYYY-Insulet 2025.xls</x:v>
      </x:c>
    </x:row>
    <x:row r="418" ht="25" customHeight="1">
      <x:c r="A418" s="3" t="str">
        <x:v>INSULET CORPORATION</x:v>
      </x:c>
      <x:c r="B418" s="3" t="str">
        <x:v>2023-01-01~2023-12-31</x:v>
      </x:c>
      <x:c r="C418" s="3" t="str">
        <x:v>2023-12-31</x:v>
      </x:c>
      <x:c r="D418" s="3" t="str">
        <x:v>Debt ratio</x:v>
      </x:c>
      <x:c r="E418" s="7" t="n">
        <x:f>'計算底稿'!K43</x:f>
        <x:v>2.5307</x:v>
      </x:c>
      <x:c r="F418" s="3" t="str">
        <x:v>%</x:v>
      </x:c>
      <x:c r="G418" s="3" t="str">
        <x:v>原始報表數字</x:v>
      </x:c>
      <x:c r="H418" s="3" t="str">
        <x:v>Report1!I203, Report1!I62, Report1!I70</x:v>
      </x:c>
      <x:c r="I418" s="3" t="str">
        <x:v>總負債÷淨值</x:v>
      </x:c>
      <x:c r="J418" s="3" t="str">
        <x:v>計算底稿!K43</x:v>
      </x:c>
      <x:c r="K418" s="3" t="str">
        <x:v>實際為負債淨值比；非負債資產比，亦非有息債務比。</x:v>
      </x:c>
      <x:c r="L418" s="3" t="str">
        <x:v>/Users/yuntzuyu/Downloads/e-loan/Year/e-Loan YYYY-Insulet 2025.xls</x:v>
      </x:c>
    </x:row>
    <x:row r="419" ht="25" customHeight="1">
      <x:c r="A419" s="3" t="str">
        <x:v>INSULET CORPORATION</x:v>
      </x:c>
      <x:c r="B419" s="3" t="str">
        <x:v>2023-01-01~2023-12-31</x:v>
      </x:c>
      <x:c r="C419" s="3" t="str">
        <x:v>2023-12-31</x:v>
      </x:c>
      <x:c r="D419" s="3" t="str">
        <x:v>Total debt</x:v>
      </x:c>
      <x:c r="E419" s="6" t="n">
        <x:f>'計算底稿'!L43</x:f>
        <x:v>1320</x:v>
      </x:c>
      <x:c r="F419" s="3" t="str">
        <x:v>USD  million</x:v>
      </x:c>
      <x:c r="G419" s="3" t="str">
        <x:v>推算值／列示項目小計</x:v>
      </x:c>
      <x:c r="H419" s="3" t="str">
        <x:v>Report1!I41, Report1!I43, Report1!I55, Report1!I56</x:v>
      </x:c>
      <x:c r="I419" s="3" t="str">
        <x:v>短期借款＋一年內到期長債＋長期銀行借款＋公司債</x:v>
      </x:c>
      <x:c r="J419" s="3" t="str">
        <x:v>計算底稿!L43</x:v>
      </x:c>
      <x:c r="K419" s="3" t="str">
        <x:v>空白項未計入；租賃等未另加，非契約確認總債務。</x:v>
      </x:c>
      <x:c r="L419" s="3" t="str">
        <x:v>/Users/yuntzuyu/Downloads/e-loan/Year/e-Loan YYYY-Insulet 2025.xls</x:v>
      </x:c>
    </x:row>
    <x:row r="420" ht="25" customHeight="1">
      <x:c r="A420" s="3" t="str">
        <x:v>INSULET CORPORATION</x:v>
      </x:c>
      <x:c r="B420" s="3" t="str">
        <x:v>2023-01-01~2023-12-31</x:v>
      </x:c>
      <x:c r="C420" s="3" t="str">
        <x:v>2023-12-31</x:v>
      </x:c>
      <x:c r="D420" s="3" t="str">
        <x:v>EBITDA（報表口徑）</x:v>
      </x:c>
      <x:c r="E420" s="6" t="n">
        <x:f>'計算底稿'!M43</x:f>
        <x:v>324</x:v>
      </x:c>
      <x:c r="F420" s="3" t="str">
        <x:v>USD  million</x:v>
      </x:c>
      <x:c r="G420" s="3" t="str">
        <x:v>推算值</x:v>
      </x:c>
      <x:c r="H420" s="3" t="str">
        <x:v>Report1!I111, Report1!I106, Report1!I121, Report1!I201</x:v>
      </x:c>
      <x:c r="I420" s="3" t="str">
        <x:v>稅前損益＋利息費用＋折舊攤銷</x:v>
      </x:c>
      <x:c r="J420" s="3" t="str">
        <x:v>計算底稿!M43</x:v>
      </x:c>
      <x:c r="K420" s="3" t="str">
        <x:v>可重現原表EBITDA/Interest；含業外損益。</x:v>
      </x:c>
      <x:c r="L420" s="3" t="str">
        <x:v>/Users/yuntzuyu/Downloads/e-loan/Year/e-Loan YYYY-Insulet 2025.xls</x:v>
      </x:c>
    </x:row>
    <x:row r="421" ht="25" customHeight="1">
      <x:c r="A421" s="3" t="str">
        <x:v>INSULET CORPORATION</x:v>
      </x:c>
      <x:c r="B421" s="3" t="str">
        <x:v>2023-01-01~2023-12-31</x:v>
      </x:c>
      <x:c r="C421" s="3" t="str">
        <x:v>2023-12-31</x:v>
      </x:c>
      <x:c r="D421" s="3" t="str">
        <x:v>EBITDA basis</x:v>
      </x:c>
      <x:c r="E421" s="3" t="str">
        <x:v>稅前損益＋利息＋折舊攤銷</x:v>
      </x:c>
      <x:c r="F421" s="3" t="str">
        <x:v>文字</x:v>
      </x:c>
      <x:c r="G421" s="3" t="str">
        <x:v>口徑說明</x:v>
      </x:c>
      <x:c r="H421" s="3" t="str">
        <x:v>Report1!I111, Report1!I106, Report1!I121</x:v>
      </x:c>
      <x:c r="I421" s="3" t="str">
        <x:v>稅前損益＋利息費用＋折舊攤銷</x:v>
      </x:c>
      <x:c r="J421" s="3" t="str">
        <x:v>計算底稿!M43</x:v>
      </x:c>
      <x:c r="K421" s="3" t="str">
        <x:v>本列為文字定義；不代表Adjusted或契約EBITDA。</x:v>
      </x:c>
      <x:c r="L421" s="3" t="str">
        <x:v>/Users/yuntzuyu/Downloads/e-loan/Year/e-Loan YYYY-Insulet 2025.xls</x:v>
      </x:c>
    </x:row>
    <x:row r="422" ht="25" customHeight="1">
      <x:c r="A422" s="3" t="str">
        <x:v>INSULET CORPORATION</x:v>
      </x:c>
      <x:c r="B422" s="3" t="str">
        <x:v>2023-01-01~2023-12-31</x:v>
      </x:c>
      <x:c r="C422" s="3" t="str">
        <x:v>2023-12-31</x:v>
      </x:c>
      <x:c r="D422" s="3" t="str">
        <x:v>LTM EBITDA</x:v>
      </x:c>
      <x:c r="E422" s="6" t="n">
        <x:f>'計算底稿'!P43</x:f>
        <x:v>324</x:v>
      </x:c>
      <x:c r="F422" s="3" t="str">
        <x:v>USD  million</x:v>
      </x:c>
      <x:c r="G422" s="3" t="str">
        <x:v>推算值</x:v>
      </x:c>
      <x:c r="H422" s="3" t="str">
        <x:v>Report1!I111, Report1!I106, Report1!I121</x:v>
      </x:c>
      <x:c r="I422" s="3" t="str">
        <x:v>全年：當年EBITDA；期中：前全年＋本YTD−前YTD</x:v>
      </x:c>
      <x:c r="J422" s="3" t="str">
        <x:v>計算底稿!P43</x:v>
      </x:c>
      <x:c r="K422" s="3" t="str">
        <x:v>期中缺前同期則資料不足；不採YTD×2或×4。</x:v>
      </x:c>
      <x:c r="L422" s="3" t="str">
        <x:v>/Users/yuntzuyu/Downloads/e-loan/Year/e-Loan YYYY-Insulet 2025.xls</x:v>
      </x:c>
    </x:row>
    <x:row r="423" ht="25" customHeight="1">
      <x:c r="A423" s="3" t="str">
        <x:v>INSULET CORPORATION</x:v>
      </x:c>
      <x:c r="B423" s="3" t="str">
        <x:v>2023-01-01~2023-12-31</x:v>
      </x:c>
      <x:c r="C423" s="3" t="str">
        <x:v>2023-12-31</x:v>
      </x:c>
      <x:c r="D423" s="3" t="str">
        <x:v>Total leverage ratio</x:v>
      </x:c>
      <x:c r="E423" s="8" t="n">
        <x:f>'計算底稿'!Q43</x:f>
        <x:v>4.074074074074074</x:v>
      </x:c>
      <x:c r="F423" s="3" t="str">
        <x:v>倍</x:v>
      </x:c>
      <x:c r="G423" s="3" t="str">
        <x:v>推算值／非契約倍數</x:v>
      </x:c>
      <x:c r="H423" s="3" t="str">
        <x:v>Report1!I41, Report1!I43, Report1!I55, Report1!I56, Report1!I111, Report1!I106, Report1!I121</x:v>
      </x:c>
      <x:c r="I423" s="3" t="str">
        <x:v>期末列示債務合計÷LTM EBITDA</x:v>
      </x:c>
      <x:c r="J423" s="3" t="str">
        <x:v>計算底稿!Q43</x:v>
      </x:c>
      <x:c r="K423" s="3" t="str">
        <x:v>未扣現金；不含未辨識租賃；EBITDA≤0時標示不具意義。</x:v>
      </x:c>
      <x:c r="L423" s="3" t="str">
        <x:v>/Users/yuntzuyu/Downloads/e-loan/Year/e-Loan YYYY-Insulet 2025.xls</x:v>
      </x:c>
    </x:row>
    <x:row r="424" ht="25" customHeight="1">
      <x:c r="A424" s="3" t="str">
        <x:v>INSULET CORPORATION</x:v>
      </x:c>
      <x:c r="B424" s="3" t="str">
        <x:v>2024-01-01~2024-12-31</x:v>
      </x:c>
      <x:c r="C424" s="3" t="str">
        <x:v>2024-12-31</x:v>
      </x:c>
      <x:c r="D424" s="3" t="str">
        <x:v>Cost of revenues</x:v>
      </x:c>
      <x:c r="E424" s="6" t="n">
        <x:f>'計算底稿'!F44</x:f>
        <x:v>626</x:v>
      </x:c>
      <x:c r="F424" s="3" t="str">
        <x:v>USD  million</x:v>
      </x:c>
      <x:c r="G424" s="3" t="str">
        <x:v>原始報表數字</x:v>
      </x:c>
      <x:c r="H424" s="3" t="str">
        <x:v>Report1!M86</x:v>
      </x:c>
      <x:c r="I424" s="3" t="str">
        <x:v>營收−毛利（驗算）</x:v>
      </x:c>
      <x:c r="J424" s="3" t="str">
        <x:v>計算底稿!F44</x:v>
      </x:c>
      <x:c r="K424" s="3" t="str">
        <x:v>對應Operating Cost/COGS；缺成本細項。</x:v>
      </x:c>
      <x:c r="L424" s="3" t="str">
        <x:v>/Users/yuntzuyu/Downloads/e-loan/Year/e-Loan YYYY-Insulet 2025.xls</x:v>
      </x:c>
    </x:row>
    <x:row r="425" ht="25" customHeight="1">
      <x:c r="A425" s="3" t="str">
        <x:v>INSULET CORPORATION</x:v>
      </x:c>
      <x:c r="B425" s="3" t="str">
        <x:v>2024-01-01~2024-12-31</x:v>
      </x:c>
      <x:c r="C425" s="3" t="str">
        <x:v>2024-12-31</x:v>
      </x:c>
      <x:c r="D425" s="3" t="str">
        <x:v>Gross profit</x:v>
      </x:c>
      <x:c r="E425" s="6" t="n">
        <x:f>'計算底稿'!G44</x:f>
        <x:v>1446</x:v>
      </x:c>
      <x:c r="F425" s="3" t="str">
        <x:v>USD  million</x:v>
      </x:c>
      <x:c r="G425" s="3" t="str">
        <x:v>原始報表數字</x:v>
      </x:c>
      <x:c r="H425" s="3" t="str">
        <x:v>Report1!M94, Report1!M80, Report1!M86</x:v>
      </x:c>
      <x:c r="I425" s="3" t="str">
        <x:v>營收−營收成本</x:v>
      </x:c>
      <x:c r="J425" s="3" t="str">
        <x:v>計算底稿!G44</x:v>
      </x:c>
      <x:c r="K425" s="3" t="str">
        <x:v>原值與驗算一致。</x:v>
      </x:c>
      <x:c r="L425" s="3" t="str">
        <x:v>/Users/yuntzuyu/Downloads/e-loan/Year/e-Loan YYYY-Insulet 2025.xls</x:v>
      </x:c>
    </x:row>
    <x:row r="426" ht="25" customHeight="1">
      <x:c r="A426" s="3" t="str">
        <x:v>INSULET CORPORATION</x:v>
      </x:c>
      <x:c r="B426" s="3" t="str">
        <x:v>2024-01-01~2024-12-31</x:v>
      </x:c>
      <x:c r="C426" s="3" t="str">
        <x:v>2024-12-31</x:v>
      </x:c>
      <x:c r="D426" s="3" t="str">
        <x:v>Operating expense</x:v>
      </x:c>
      <x:c r="E426" s="6" t="n">
        <x:f>'計算底稿'!H44</x:f>
        <x:v>1137</x:v>
      </x:c>
      <x:c r="F426" s="3" t="str">
        <x:v>USD  million</x:v>
      </x:c>
      <x:c r="G426" s="3" t="str">
        <x:v>原始報表數字</x:v>
      </x:c>
      <x:c r="H426" s="3" t="str">
        <x:v>Report1!M96, Report1!M94, Report1!M97</x:v>
      </x:c>
      <x:c r="I426" s="3" t="str">
        <x:v>毛利−營業利益（驗算）</x:v>
      </x:c>
      <x:c r="J426" s="3" t="str">
        <x:v>計算底稿!H44</x:v>
      </x:c>
      <x:c r="K426" s="3" t="str">
        <x:v>缺銷管、研發、減損等細分。</x:v>
      </x:c>
      <x:c r="L426" s="3" t="str">
        <x:v>/Users/yuntzuyu/Downloads/e-loan/Year/e-Loan YYYY-Insulet 2025.xls</x:v>
      </x:c>
    </x:row>
    <x:row r="427" ht="25" customHeight="1">
      <x:c r="A427" s="3" t="str">
        <x:v>INSULET CORPORATION</x:v>
      </x:c>
      <x:c r="B427" s="3" t="str">
        <x:v>2024-01-01~2024-12-31</x:v>
      </x:c>
      <x:c r="C427" s="3" t="str">
        <x:v>2024-12-31</x:v>
      </x:c>
      <x:c r="D427" s="3" t="str">
        <x:v>Interest expense</x:v>
      </x:c>
      <x:c r="E427" s="6" t="n">
        <x:f>'計算底稿'!I44</x:f>
        <x:v>43</x:v>
      </x:c>
      <x:c r="F427" s="3" t="str">
        <x:v>USD  million</x:v>
      </x:c>
      <x:c r="G427" s="3" t="str">
        <x:v>原始報表數字</x:v>
      </x:c>
      <x:c r="H427" s="3" t="str">
        <x:v>Report1!M106</x:v>
      </x:c>
      <x:c r="I427" s="3" t="str">
        <x:v>直接取原報表第106列</x:v>
      </x:c>
      <x:c r="J427" s="3" t="str">
        <x:v>計算底稿!I44</x:v>
      </x:c>
      <x:c r="K427" s="3" t="str">
        <x:v>屬應計費用；不是現金付息，也不以期末債務×利率替代。</x:v>
      </x:c>
      <x:c r="L427" s="3" t="str">
        <x:v>/Users/yuntzuyu/Downloads/e-loan/Year/e-Loan YYYY-Insulet 2025.xls</x:v>
      </x:c>
    </x:row>
    <x:row r="428" ht="25" customHeight="1">
      <x:c r="A428" s="3" t="str">
        <x:v>INSULET CORPORATION</x:v>
      </x:c>
      <x:c r="B428" s="3" t="str">
        <x:v>2024-01-01~2024-12-31</x:v>
      </x:c>
      <x:c r="C428" s="3" t="str">
        <x:v>2024-12-31</x:v>
      </x:c>
      <x:c r="D428" s="3" t="str">
        <x:v>Quick ratio</x:v>
      </x:c>
      <x:c r="E428" s="7" t="n">
        <x:f>'計算底稿'!J44</x:f>
        <x:v>2.4934</x:v>
      </x:c>
      <x:c r="F428" s="3" t="str">
        <x:v>%</x:v>
      </x:c>
      <x:c r="G428" s="3" t="str">
        <x:v>原始報表數字</x:v>
      </x:c>
      <x:c r="H428" s="3" t="str">
        <x:v>Report1!M198, Report1!M11, Report1!M12, Report1!M13, Report1!M40</x:v>
      </x:c>
      <x:c r="I428" s="3" t="str">
        <x:v>(現金＋流動金融資產＋應收款項)÷流動負債</x:v>
      </x:c>
      <x:c r="J428" s="3" t="str">
        <x:v>計算底稿!J44</x:v>
      </x:c>
      <x:c r="K428" s="3" t="str">
        <x:v>原值為百分比；非直接以流動資產扣存貨。</x:v>
      </x:c>
      <x:c r="L428" s="3" t="str">
        <x:v>/Users/yuntzuyu/Downloads/e-loan/Year/e-Loan YYYY-Insulet 2025.xls</x:v>
      </x:c>
    </x:row>
    <x:row r="429" ht="25" customHeight="1">
      <x:c r="A429" s="3" t="str">
        <x:v>INSULET CORPORATION</x:v>
      </x:c>
      <x:c r="B429" s="3" t="str">
        <x:v>2024-01-01~2024-12-31</x:v>
      </x:c>
      <x:c r="C429" s="3" t="str">
        <x:v>2024-12-31</x:v>
      </x:c>
      <x:c r="D429" s="3" t="str">
        <x:v>Debt ratio</x:v>
      </x:c>
      <x:c r="E429" s="7" t="n">
        <x:f>'計算底稿'!K44</x:f>
        <x:v>1.5478999999999998</x:v>
      </x:c>
      <x:c r="F429" s="3" t="str">
        <x:v>%</x:v>
      </x:c>
      <x:c r="G429" s="3" t="str">
        <x:v>原始報表數字</x:v>
      </x:c>
      <x:c r="H429" s="3" t="str">
        <x:v>Report1!M203, Report1!M62, Report1!M70</x:v>
      </x:c>
      <x:c r="I429" s="3" t="str">
        <x:v>總負債÷淨值</x:v>
      </x:c>
      <x:c r="J429" s="3" t="str">
        <x:v>計算底稿!K44</x:v>
      </x:c>
      <x:c r="K429" s="3" t="str">
        <x:v>實際為負債淨值比；非負債資產比，亦非有息債務比。</x:v>
      </x:c>
      <x:c r="L429" s="3" t="str">
        <x:v>/Users/yuntzuyu/Downloads/e-loan/Year/e-Loan YYYY-Insulet 2025.xls</x:v>
      </x:c>
    </x:row>
    <x:row r="430" ht="25" customHeight="1">
      <x:c r="A430" s="3" t="str">
        <x:v>INSULET CORPORATION</x:v>
      </x:c>
      <x:c r="B430" s="3" t="str">
        <x:v>2024-01-01~2024-12-31</x:v>
      </x:c>
      <x:c r="C430" s="3" t="str">
        <x:v>2024-12-31</x:v>
      </x:c>
      <x:c r="D430" s="3" t="str">
        <x:v>Total debt</x:v>
      </x:c>
      <x:c r="E430" s="6" t="n">
        <x:f>'計算底稿'!L44</x:f>
        <x:v>1354</x:v>
      </x:c>
      <x:c r="F430" s="3" t="str">
        <x:v>USD  million</x:v>
      </x:c>
      <x:c r="G430" s="3" t="str">
        <x:v>推算值／列示項目小計</x:v>
      </x:c>
      <x:c r="H430" s="3" t="str">
        <x:v>Report1!M41, Report1!M43, Report1!M55, Report1!M56</x:v>
      </x:c>
      <x:c r="I430" s="3" t="str">
        <x:v>短期借款＋一年內到期長債＋長期銀行借款＋公司債</x:v>
      </x:c>
      <x:c r="J430" s="3" t="str">
        <x:v>計算底稿!L44</x:v>
      </x:c>
      <x:c r="K430" s="3" t="str">
        <x:v>空白項未計入；租賃等未另加，非契約確認總債務。</x:v>
      </x:c>
      <x:c r="L430" s="3" t="str">
        <x:v>/Users/yuntzuyu/Downloads/e-loan/Year/e-Loan YYYY-Insulet 2025.xls</x:v>
      </x:c>
    </x:row>
    <x:row r="431" ht="25" customHeight="1">
      <x:c r="A431" s="3" t="str">
        <x:v>INSULET CORPORATION</x:v>
      </x:c>
      <x:c r="B431" s="3" t="str">
        <x:v>2024-01-01~2024-12-31</x:v>
      </x:c>
      <x:c r="C431" s="3" t="str">
        <x:v>2024-12-31</x:v>
      </x:c>
      <x:c r="D431" s="3" t="str">
        <x:v>EBITDA（報表口徑）</x:v>
      </x:c>
      <x:c r="E431" s="6" t="n">
        <x:f>'計算底稿'!M44</x:f>
        <x:v>424</x:v>
      </x:c>
      <x:c r="F431" s="3" t="str">
        <x:v>USD  million</x:v>
      </x:c>
      <x:c r="G431" s="3" t="str">
        <x:v>推算值</x:v>
      </x:c>
      <x:c r="H431" s="3" t="str">
        <x:v>Report1!M111, Report1!M106, Report1!M121, Report1!M201</x:v>
      </x:c>
      <x:c r="I431" s="3" t="str">
        <x:v>稅前損益＋利息費用＋折舊攤銷</x:v>
      </x:c>
      <x:c r="J431" s="3" t="str">
        <x:v>計算底稿!M44</x:v>
      </x:c>
      <x:c r="K431" s="3" t="str">
        <x:v>可重現原表EBITDA/Interest；含業外損益。</x:v>
      </x:c>
      <x:c r="L431" s="3" t="str">
        <x:v>/Users/yuntzuyu/Downloads/e-loan/Year/e-Loan YYYY-Insulet 2025.xls</x:v>
      </x:c>
    </x:row>
    <x:row r="432" ht="25" customHeight="1">
      <x:c r="A432" s="3" t="str">
        <x:v>INSULET CORPORATION</x:v>
      </x:c>
      <x:c r="B432" s="3" t="str">
        <x:v>2024-01-01~2024-12-31</x:v>
      </x:c>
      <x:c r="C432" s="3" t="str">
        <x:v>2024-12-31</x:v>
      </x:c>
      <x:c r="D432" s="3" t="str">
        <x:v>EBITDA basis</x:v>
      </x:c>
      <x:c r="E432" s="3" t="str">
        <x:v>稅前損益＋利息＋折舊攤銷</x:v>
      </x:c>
      <x:c r="F432" s="3" t="str">
        <x:v>文字</x:v>
      </x:c>
      <x:c r="G432" s="3" t="str">
        <x:v>口徑說明</x:v>
      </x:c>
      <x:c r="H432" s="3" t="str">
        <x:v>Report1!M111, Report1!M106, Report1!M121</x:v>
      </x:c>
      <x:c r="I432" s="3" t="str">
        <x:v>稅前損益＋利息費用＋折舊攤銷</x:v>
      </x:c>
      <x:c r="J432" s="3" t="str">
        <x:v>計算底稿!M44</x:v>
      </x:c>
      <x:c r="K432" s="3" t="str">
        <x:v>本列為文字定義；不代表Adjusted或契約EBITDA。</x:v>
      </x:c>
      <x:c r="L432" s="3" t="str">
        <x:v>/Users/yuntzuyu/Downloads/e-loan/Year/e-Loan YYYY-Insulet 2025.xls</x:v>
      </x:c>
    </x:row>
    <x:row r="433" ht="25" customHeight="1">
      <x:c r="A433" s="3" t="str">
        <x:v>INSULET CORPORATION</x:v>
      </x:c>
      <x:c r="B433" s="3" t="str">
        <x:v>2024-01-01~2024-12-31</x:v>
      </x:c>
      <x:c r="C433" s="3" t="str">
        <x:v>2024-12-31</x:v>
      </x:c>
      <x:c r="D433" s="3" t="str">
        <x:v>LTM EBITDA</x:v>
      </x:c>
      <x:c r="E433" s="6" t="n">
        <x:f>'計算底稿'!P44</x:f>
        <x:v>424</x:v>
      </x:c>
      <x:c r="F433" s="3" t="str">
        <x:v>USD  million</x:v>
      </x:c>
      <x:c r="G433" s="3" t="str">
        <x:v>推算值</x:v>
      </x:c>
      <x:c r="H433" s="3" t="str">
        <x:v>Report1!M111, Report1!M106, Report1!M121</x:v>
      </x:c>
      <x:c r="I433" s="3" t="str">
        <x:v>全年：當年EBITDA；期中：前全年＋本YTD−前YTD</x:v>
      </x:c>
      <x:c r="J433" s="3" t="str">
        <x:v>計算底稿!P44</x:v>
      </x:c>
      <x:c r="K433" s="3" t="str">
        <x:v>期中缺前同期則資料不足；不採YTD×2或×4。</x:v>
      </x:c>
      <x:c r="L433" s="3" t="str">
        <x:v>/Users/yuntzuyu/Downloads/e-loan/Year/e-Loan YYYY-Insulet 2025.xls</x:v>
      </x:c>
    </x:row>
    <x:row r="434" ht="25" customHeight="1">
      <x:c r="A434" s="3" t="str">
        <x:v>INSULET CORPORATION</x:v>
      </x:c>
      <x:c r="B434" s="3" t="str">
        <x:v>2024-01-01~2024-12-31</x:v>
      </x:c>
      <x:c r="C434" s="3" t="str">
        <x:v>2024-12-31</x:v>
      </x:c>
      <x:c r="D434" s="3" t="str">
        <x:v>Total leverage ratio</x:v>
      </x:c>
      <x:c r="E434" s="8" t="n">
        <x:f>'計算底稿'!Q44</x:f>
        <x:v>3.193396226415094</x:v>
      </x:c>
      <x:c r="F434" s="3" t="str">
        <x:v>倍</x:v>
      </x:c>
      <x:c r="G434" s="3" t="str">
        <x:v>推算值／非契約倍數</x:v>
      </x:c>
      <x:c r="H434" s="3" t="str">
        <x:v>Report1!M41, Report1!M43, Report1!M55, Report1!M56, Report1!M111, Report1!M106, Report1!M121</x:v>
      </x:c>
      <x:c r="I434" s="3" t="str">
        <x:v>期末列示債務合計÷LTM EBITDA</x:v>
      </x:c>
      <x:c r="J434" s="3" t="str">
        <x:v>計算底稿!Q44</x:v>
      </x:c>
      <x:c r="K434" s="3" t="str">
        <x:v>未扣現金；不含未辨識租賃；EBITDA≤0時標示不具意義。</x:v>
      </x:c>
      <x:c r="L434" s="3" t="str">
        <x:v>/Users/yuntzuyu/Downloads/e-loan/Year/e-Loan YYYY-Insulet 2025.xls</x:v>
      </x:c>
    </x:row>
    <x:row r="435" ht="25" customHeight="1">
      <x:c r="A435" s="3" t="str">
        <x:v>INSULET CORPORATION</x:v>
      </x:c>
      <x:c r="B435" s="3" t="str">
        <x:v>2025-01-01~2025-12-31</x:v>
      </x:c>
      <x:c r="C435" s="3" t="str">
        <x:v>2025-12-31</x:v>
      </x:c>
      <x:c r="D435" s="3" t="str">
        <x:v>Cost of revenues</x:v>
      </x:c>
      <x:c r="E435" s="6" t="n">
        <x:f>'計算底稿'!F45</x:f>
        <x:v>768</x:v>
      </x:c>
      <x:c r="F435" s="3" t="str">
        <x:v>USD  million</x:v>
      </x:c>
      <x:c r="G435" s="3" t="str">
        <x:v>原始報表數字</x:v>
      </x:c>
      <x:c r="H435" s="3" t="str">
        <x:v>Report1!R86</x:v>
      </x:c>
      <x:c r="I435" s="3" t="str">
        <x:v>營收−毛利（驗算）</x:v>
      </x:c>
      <x:c r="J435" s="3" t="str">
        <x:v>計算底稿!F45</x:v>
      </x:c>
      <x:c r="K435" s="3" t="str">
        <x:v>對應Operating Cost/COGS；缺成本細項。</x:v>
      </x:c>
      <x:c r="L435" s="3" t="str">
        <x:v>/Users/yuntzuyu/Downloads/e-loan/Year/e-Loan YYYY-Insulet 2025.xls</x:v>
      </x:c>
    </x:row>
    <x:row r="436" ht="25" customHeight="1">
      <x:c r="A436" s="3" t="str">
        <x:v>INSULET CORPORATION</x:v>
      </x:c>
      <x:c r="B436" s="3" t="str">
        <x:v>2025-01-01~2025-12-31</x:v>
      </x:c>
      <x:c r="C436" s="3" t="str">
        <x:v>2025-12-31</x:v>
      </x:c>
      <x:c r="D436" s="3" t="str">
        <x:v>Gross profit</x:v>
      </x:c>
      <x:c r="E436" s="6" t="n">
        <x:f>'計算底稿'!G45</x:f>
        <x:v>1940</x:v>
      </x:c>
      <x:c r="F436" s="3" t="str">
        <x:v>USD  million</x:v>
      </x:c>
      <x:c r="G436" s="3" t="str">
        <x:v>原始報表數字</x:v>
      </x:c>
      <x:c r="H436" s="3" t="str">
        <x:v>Report1!R94, Report1!R80, Report1!R86</x:v>
      </x:c>
      <x:c r="I436" s="3" t="str">
        <x:v>營收−營收成本</x:v>
      </x:c>
      <x:c r="J436" s="3" t="str">
        <x:v>計算底稿!G45</x:v>
      </x:c>
      <x:c r="K436" s="3" t="str">
        <x:v>原值與驗算一致。</x:v>
      </x:c>
      <x:c r="L436" s="3" t="str">
        <x:v>/Users/yuntzuyu/Downloads/e-loan/Year/e-Loan YYYY-Insulet 2025.xls</x:v>
      </x:c>
    </x:row>
    <x:row r="437" ht="25" customHeight="1">
      <x:c r="A437" s="3" t="str">
        <x:v>INSULET CORPORATION</x:v>
      </x:c>
      <x:c r="B437" s="3" t="str">
        <x:v>2025-01-01~2025-12-31</x:v>
      </x:c>
      <x:c r="C437" s="3" t="str">
        <x:v>2025-12-31</x:v>
      </x:c>
      <x:c r="D437" s="3" t="str">
        <x:v>Operating expense</x:v>
      </x:c>
      <x:c r="E437" s="6" t="n">
        <x:f>'計算底稿'!H45</x:f>
        <x:v>1466</x:v>
      </x:c>
      <x:c r="F437" s="3" t="str">
        <x:v>USD  million</x:v>
      </x:c>
      <x:c r="G437" s="3" t="str">
        <x:v>原始報表數字</x:v>
      </x:c>
      <x:c r="H437" s="3" t="str">
        <x:v>Report1!R96, Report1!R94, Report1!R97</x:v>
      </x:c>
      <x:c r="I437" s="3" t="str">
        <x:v>毛利−營業利益（驗算）</x:v>
      </x:c>
      <x:c r="J437" s="3" t="str">
        <x:v>計算底稿!H45</x:v>
      </x:c>
      <x:c r="K437" s="3" t="str">
        <x:v>缺銷管、研發、減損等細分。</x:v>
      </x:c>
      <x:c r="L437" s="3" t="str">
        <x:v>/Users/yuntzuyu/Downloads/e-loan/Year/e-Loan YYYY-Insulet 2025.xls</x:v>
      </x:c>
    </x:row>
    <x:row r="438" ht="25" customHeight="1">
      <x:c r="A438" s="3" t="str">
        <x:v>INSULET CORPORATION</x:v>
      </x:c>
      <x:c r="B438" s="3" t="str">
        <x:v>2025-01-01~2025-12-31</x:v>
      </x:c>
      <x:c r="C438" s="3" t="str">
        <x:v>2025-12-31</x:v>
      </x:c>
      <x:c r="D438" s="3" t="str">
        <x:v>Interest expense</x:v>
      </x:c>
      <x:c r="E438" s="6" t="n">
        <x:f>'計算底稿'!I45</x:f>
        <x:v>60</x:v>
      </x:c>
      <x:c r="F438" s="3" t="str">
        <x:v>USD  million</x:v>
      </x:c>
      <x:c r="G438" s="3" t="str">
        <x:v>原始報表數字</x:v>
      </x:c>
      <x:c r="H438" s="3" t="str">
        <x:v>Report1!R106</x:v>
      </x:c>
      <x:c r="I438" s="3" t="str">
        <x:v>直接取原報表第106列</x:v>
      </x:c>
      <x:c r="J438" s="3" t="str">
        <x:v>計算底稿!I45</x:v>
      </x:c>
      <x:c r="K438" s="3" t="str">
        <x:v>屬應計費用；不是現金付息，也不以期末債務×利率替代。</x:v>
      </x:c>
      <x:c r="L438" s="3" t="str">
        <x:v>/Users/yuntzuyu/Downloads/e-loan/Year/e-Loan YYYY-Insulet 2025.xls</x:v>
      </x:c>
    </x:row>
    <x:row r="439" ht="25" customHeight="1">
      <x:c r="A439" s="3" t="str">
        <x:v>INSULET CORPORATION</x:v>
      </x:c>
      <x:c r="B439" s="3" t="str">
        <x:v>2025-01-01~2025-12-31</x:v>
      </x:c>
      <x:c r="C439" s="3" t="str">
        <x:v>2025-12-31</x:v>
      </x:c>
      <x:c r="D439" s="3" t="str">
        <x:v>Quick ratio</x:v>
      </x:c>
      <x:c r="E439" s="7" t="n">
        <x:f>'計算底稿'!J45</x:f>
        <x:v>1.8132</x:v>
      </x:c>
      <x:c r="F439" s="3" t="str">
        <x:v>%</x:v>
      </x:c>
      <x:c r="G439" s="3" t="str">
        <x:v>原始報表數字</x:v>
      </x:c>
      <x:c r="H439" s="3" t="str">
        <x:v>Report1!R198, Report1!R11, Report1!R12, Report1!R13, Report1!R40</x:v>
      </x:c>
      <x:c r="I439" s="3" t="str">
        <x:v>(現金＋流動金融資產＋應收款項)÷流動負債</x:v>
      </x:c>
      <x:c r="J439" s="3" t="str">
        <x:v>計算底稿!J45</x:v>
      </x:c>
      <x:c r="K439" s="3" t="str">
        <x:v>原值為百分比；非直接以流動資產扣存貨。</x:v>
      </x:c>
      <x:c r="L439" s="3" t="str">
        <x:v>/Users/yuntzuyu/Downloads/e-loan/Year/e-Loan YYYY-Insulet 2025.xls</x:v>
      </x:c>
    </x:row>
    <x:row r="440" ht="25" customHeight="1">
      <x:c r="A440" s="3" t="str">
        <x:v>INSULET CORPORATION</x:v>
      </x:c>
      <x:c r="B440" s="3" t="str">
        <x:v>2025-01-01~2025-12-31</x:v>
      </x:c>
      <x:c r="C440" s="3" t="str">
        <x:v>2025-12-31</x:v>
      </x:c>
      <x:c r="D440" s="3" t="str">
        <x:v>Debt ratio</x:v>
      </x:c>
      <x:c r="E440" s="7" t="n">
        <x:f>'計算底稿'!K45</x:f>
        <x:v>1.1056</x:v>
      </x:c>
      <x:c r="F440" s="3" t="str">
        <x:v>%</x:v>
      </x:c>
      <x:c r="G440" s="3" t="str">
        <x:v>原始報表數字</x:v>
      </x:c>
      <x:c r="H440" s="3" t="str">
        <x:v>Report1!R203, Report1!R62, Report1!R70</x:v>
      </x:c>
      <x:c r="I440" s="3" t="str">
        <x:v>總負債÷淨值</x:v>
      </x:c>
      <x:c r="J440" s="3" t="str">
        <x:v>計算底稿!K45</x:v>
      </x:c>
      <x:c r="K440" s="3" t="str">
        <x:v>實際為負債淨值比；非負債資產比，亦非有息債務比。</x:v>
      </x:c>
      <x:c r="L440" s="3" t="str">
        <x:v>/Users/yuntzuyu/Downloads/e-loan/Year/e-Loan YYYY-Insulet 2025.xls</x:v>
      </x:c>
    </x:row>
    <x:row r="441" ht="25" customHeight="1">
      <x:c r="A441" s="3" t="str">
        <x:v>INSULET CORPORATION</x:v>
      </x:c>
      <x:c r="B441" s="3" t="str">
        <x:v>2025-01-01~2025-12-31</x:v>
      </x:c>
      <x:c r="C441" s="3" t="str">
        <x:v>2025-12-31</x:v>
      </x:c>
      <x:c r="D441" s="3" t="str">
        <x:v>Total debt</x:v>
      </x:c>
      <x:c r="E441" s="6" t="n">
        <x:f>'計算底稿'!L45</x:f>
        <x:v>933</x:v>
      </x:c>
      <x:c r="F441" s="3" t="str">
        <x:v>USD  million</x:v>
      </x:c>
      <x:c r="G441" s="3" t="str">
        <x:v>推算值／列示項目小計</x:v>
      </x:c>
      <x:c r="H441" s="3" t="str">
        <x:v>Report1!R41, Report1!R43, Report1!R55, Report1!R56</x:v>
      </x:c>
      <x:c r="I441" s="3" t="str">
        <x:v>短期借款＋一年內到期長債＋長期銀行借款＋公司債</x:v>
      </x:c>
      <x:c r="J441" s="3" t="str">
        <x:v>計算底稿!L45</x:v>
      </x:c>
      <x:c r="K441" s="3" t="str">
        <x:v>空白項未計入；租賃等未另加，非契約確認總債務。</x:v>
      </x:c>
      <x:c r="L441" s="3" t="str">
        <x:v>/Users/yuntzuyu/Downloads/e-loan/Year/e-Loan YYYY-Insulet 2025.xls</x:v>
      </x:c>
    </x:row>
    <x:row r="442" ht="25" customHeight="1">
      <x:c r="A442" s="3" t="str">
        <x:v>INSULET CORPORATION</x:v>
      </x:c>
      <x:c r="B442" s="3" t="str">
        <x:v>2025-01-01~2025-12-31</x:v>
      </x:c>
      <x:c r="C442" s="3" t="str">
        <x:v>2025-12-31</x:v>
      </x:c>
      <x:c r="D442" s="3" t="str">
        <x:v>EBITDA（報表口徑）</x:v>
      </x:c>
      <x:c r="E442" s="6" t="n">
        <x:f>'計算底稿'!M45</x:f>
        <x:v>489</x:v>
      </x:c>
      <x:c r="F442" s="3" t="str">
        <x:v>USD  million</x:v>
      </x:c>
      <x:c r="G442" s="3" t="str">
        <x:v>推算值</x:v>
      </x:c>
      <x:c r="H442" s="3" t="str">
        <x:v>Report1!R111, Report1!R106, Report1!R121, Report1!R201</x:v>
      </x:c>
      <x:c r="I442" s="3" t="str">
        <x:v>稅前損益＋利息費用＋折舊攤銷</x:v>
      </x:c>
      <x:c r="J442" s="3" t="str">
        <x:v>計算底稿!M45</x:v>
      </x:c>
      <x:c r="K442" s="3" t="str">
        <x:v>可重現原表EBITDA/Interest；含業外損益。</x:v>
      </x:c>
      <x:c r="L442" s="3" t="str">
        <x:v>/Users/yuntzuyu/Downloads/e-loan/Year/e-Loan YYYY-Insulet 2025.xls</x:v>
      </x:c>
    </x:row>
    <x:row r="443" ht="25" customHeight="1">
      <x:c r="A443" s="3" t="str">
        <x:v>INSULET CORPORATION</x:v>
      </x:c>
      <x:c r="B443" s="3" t="str">
        <x:v>2025-01-01~2025-12-31</x:v>
      </x:c>
      <x:c r="C443" s="3" t="str">
        <x:v>2025-12-31</x:v>
      </x:c>
      <x:c r="D443" s="3" t="str">
        <x:v>EBITDA basis</x:v>
      </x:c>
      <x:c r="E443" s="3" t="str">
        <x:v>稅前損益＋利息＋折舊攤銷</x:v>
      </x:c>
      <x:c r="F443" s="3" t="str">
        <x:v>文字</x:v>
      </x:c>
      <x:c r="G443" s="3" t="str">
        <x:v>口徑說明</x:v>
      </x:c>
      <x:c r="H443" s="3" t="str">
        <x:v>Report1!R111, Report1!R106, Report1!R121</x:v>
      </x:c>
      <x:c r="I443" s="3" t="str">
        <x:v>稅前損益＋利息費用＋折舊攤銷</x:v>
      </x:c>
      <x:c r="J443" s="3" t="str">
        <x:v>計算底稿!M45</x:v>
      </x:c>
      <x:c r="K443" s="3" t="str">
        <x:v>本列為文字定義；不代表Adjusted或契約EBITDA。</x:v>
      </x:c>
      <x:c r="L443" s="3" t="str">
        <x:v>/Users/yuntzuyu/Downloads/e-loan/Year/e-Loan YYYY-Insulet 2025.xls</x:v>
      </x:c>
    </x:row>
    <x:row r="444" ht="25" customHeight="1">
      <x:c r="A444" s="3" t="str">
        <x:v>INSULET CORPORATION</x:v>
      </x:c>
      <x:c r="B444" s="3" t="str">
        <x:v>2025-01-01~2025-12-31</x:v>
      </x:c>
      <x:c r="C444" s="3" t="str">
        <x:v>2025-12-31</x:v>
      </x:c>
      <x:c r="D444" s="3" t="str">
        <x:v>LTM EBITDA</x:v>
      </x:c>
      <x:c r="E444" s="6" t="n">
        <x:f>'計算底稿'!P45</x:f>
        <x:v>489</x:v>
      </x:c>
      <x:c r="F444" s="3" t="str">
        <x:v>USD  million</x:v>
      </x:c>
      <x:c r="G444" s="3" t="str">
        <x:v>推算值</x:v>
      </x:c>
      <x:c r="H444" s="3" t="str">
        <x:v>Report1!R111, Report1!R106, Report1!R121</x:v>
      </x:c>
      <x:c r="I444" s="3" t="str">
        <x:v>全年：當年EBITDA；期中：前全年＋本YTD−前YTD</x:v>
      </x:c>
      <x:c r="J444" s="3" t="str">
        <x:v>計算底稿!P45</x:v>
      </x:c>
      <x:c r="K444" s="3" t="str">
        <x:v>期中缺前同期則資料不足；不採YTD×2或×4。</x:v>
      </x:c>
      <x:c r="L444" s="3" t="str">
        <x:v>/Users/yuntzuyu/Downloads/e-loan/Year/e-Loan YYYY-Insulet 2025.xls</x:v>
      </x:c>
    </x:row>
    <x:row r="445" ht="25" customHeight="1">
      <x:c r="A445" s="3" t="str">
        <x:v>INSULET CORPORATION</x:v>
      </x:c>
      <x:c r="B445" s="3" t="str">
        <x:v>2025-01-01~2025-12-31</x:v>
      </x:c>
      <x:c r="C445" s="3" t="str">
        <x:v>2025-12-31</x:v>
      </x:c>
      <x:c r="D445" s="3" t="str">
        <x:v>Total leverage ratio</x:v>
      </x:c>
      <x:c r="E445" s="8" t="n">
        <x:f>'計算底稿'!Q45</x:f>
        <x:v>1.9079754601226995</x:v>
      </x:c>
      <x:c r="F445" s="3" t="str">
        <x:v>倍</x:v>
      </x:c>
      <x:c r="G445" s="3" t="str">
        <x:v>推算值／非契約倍數</x:v>
      </x:c>
      <x:c r="H445" s="3" t="str">
        <x:v>Report1!R41, Report1!R43, Report1!R55, Report1!R56, Report1!R111, Report1!R106, Report1!R121</x:v>
      </x:c>
      <x:c r="I445" s="3" t="str">
        <x:v>期末列示債務合計÷LTM EBITDA</x:v>
      </x:c>
      <x:c r="J445" s="3" t="str">
        <x:v>計算底稿!Q45</x:v>
      </x:c>
      <x:c r="K445" s="3" t="str">
        <x:v>未扣現金；不含未辨識租賃；EBITDA≤0時標示不具意義。</x:v>
      </x:c>
      <x:c r="L445" s="3" t="str">
        <x:v>/Users/yuntzuyu/Downloads/e-loan/Year/e-Loan YYYY-Insulet 2025.xls</x:v>
      </x:c>
    </x:row>
    <x:row r="446" ht="25" customHeight="1">
      <x:c r="A446" s="3" t="str">
        <x:v>TRANSUNION</x:v>
      </x:c>
      <x:c r="B446" s="3" t="str">
        <x:v>2022-01-01~2022-12-31</x:v>
      </x:c>
      <x:c r="C446" s="3" t="str">
        <x:v>2022-12-31</x:v>
      </x:c>
      <x:c r="D446" s="3" t="str">
        <x:v>Cost of revenues</x:v>
      </x:c>
      <x:c r="E446" s="6" t="n">
        <x:f>'計算底稿'!F46</x:f>
        <x:v>1223</x:v>
      </x:c>
      <x:c r="F446" s="3" t="str">
        <x:v>USD  million</x:v>
      </x:c>
      <x:c r="G446" s="3" t="str">
        <x:v>原始報表數字</x:v>
      </x:c>
      <x:c r="H446" s="3" t="str">
        <x:v>Report1!D86</x:v>
      </x:c>
      <x:c r="I446" s="3" t="str">
        <x:v>營收−毛利（驗算）</x:v>
      </x:c>
      <x:c r="J446" s="3" t="str">
        <x:v>計算底稿!F46</x:v>
      </x:c>
      <x:c r="K446" s="3" t="str">
        <x:v>對應Operating Cost/COGS；缺成本細項。</x:v>
      </x:c>
      <x:c r="L446" s="3" t="str">
        <x:v>/Users/yuntzuyu/Downloads/e-loan/Year/e-Loan YYYY-TransUnion 2025.xls</x:v>
      </x:c>
    </x:row>
    <x:row r="447" ht="25" customHeight="1">
      <x:c r="A447" s="3" t="str">
        <x:v>TRANSUNION</x:v>
      </x:c>
      <x:c r="B447" s="3" t="str">
        <x:v>2022-01-01~2022-12-31</x:v>
      </x:c>
      <x:c r="C447" s="3" t="str">
        <x:v>2022-12-31</x:v>
      </x:c>
      <x:c r="D447" s="3" t="str">
        <x:v>Gross profit</x:v>
      </x:c>
      <x:c r="E447" s="6" t="n">
        <x:f>'計算底稿'!G46</x:f>
        <x:v>2487</x:v>
      </x:c>
      <x:c r="F447" s="3" t="str">
        <x:v>USD  million</x:v>
      </x:c>
      <x:c r="G447" s="3" t="str">
        <x:v>原始報表數字</x:v>
      </x:c>
      <x:c r="H447" s="3" t="str">
        <x:v>Report1!D94, Report1!D80, Report1!D86</x:v>
      </x:c>
      <x:c r="I447" s="3" t="str">
        <x:v>營收−營收成本</x:v>
      </x:c>
      <x:c r="J447" s="3" t="str">
        <x:v>計算底稿!G46</x:v>
      </x:c>
      <x:c r="K447" s="3" t="str">
        <x:v>原值與驗算一致。</x:v>
      </x:c>
      <x:c r="L447" s="3" t="str">
        <x:v>/Users/yuntzuyu/Downloads/e-loan/Year/e-Loan YYYY-TransUnion 2025.xls</x:v>
      </x:c>
    </x:row>
    <x:row r="448" ht="25" customHeight="1">
      <x:c r="A448" s="3" t="str">
        <x:v>TRANSUNION</x:v>
      </x:c>
      <x:c r="B448" s="3" t="str">
        <x:v>2022-01-01~2022-12-31</x:v>
      </x:c>
      <x:c r="C448" s="3" t="str">
        <x:v>2022-12-31</x:v>
      </x:c>
      <x:c r="D448" s="3" t="str">
        <x:v>Operating expense</x:v>
      </x:c>
      <x:c r="E448" s="6" t="n">
        <x:f>'計算底稿'!H46</x:f>
        <x:v>1856</x:v>
      </x:c>
      <x:c r="F448" s="3" t="str">
        <x:v>USD  million</x:v>
      </x:c>
      <x:c r="G448" s="3" t="str">
        <x:v>原始報表數字</x:v>
      </x:c>
      <x:c r="H448" s="3" t="str">
        <x:v>Report1!D96, Report1!D94, Report1!D97</x:v>
      </x:c>
      <x:c r="I448" s="3" t="str">
        <x:v>毛利−營業利益（驗算）</x:v>
      </x:c>
      <x:c r="J448" s="3" t="str">
        <x:v>計算底稿!H46</x:v>
      </x:c>
      <x:c r="K448" s="3" t="str">
        <x:v>缺銷管、研發、減損等細分。</x:v>
      </x:c>
      <x:c r="L448" s="3" t="str">
        <x:v>/Users/yuntzuyu/Downloads/e-loan/Year/e-Loan YYYY-TransUnion 2025.xls</x:v>
      </x:c>
    </x:row>
    <x:row r="449" ht="25" customHeight="1">
      <x:c r="A449" s="3" t="str">
        <x:v>TRANSUNION</x:v>
      </x:c>
      <x:c r="B449" s="3" t="str">
        <x:v>2022-01-01~2022-12-31</x:v>
      </x:c>
      <x:c r="C449" s="3" t="str">
        <x:v>2022-12-31</x:v>
      </x:c>
      <x:c r="D449" s="3" t="str">
        <x:v>Interest expense</x:v>
      </x:c>
      <x:c r="E449" s="6" t="n">
        <x:f>'計算底稿'!I46</x:f>
        <x:v>231</x:v>
      </x:c>
      <x:c r="F449" s="3" t="str">
        <x:v>USD  million</x:v>
      </x:c>
      <x:c r="G449" s="3" t="str">
        <x:v>原始報表數字</x:v>
      </x:c>
      <x:c r="H449" s="3" t="str">
        <x:v>Report1!D106</x:v>
      </x:c>
      <x:c r="I449" s="3" t="str">
        <x:v>直接取原報表第106列</x:v>
      </x:c>
      <x:c r="J449" s="3" t="str">
        <x:v>計算底稿!I46</x:v>
      </x:c>
      <x:c r="K449" s="3" t="str">
        <x:v>屬應計費用；不是現金付息，也不以期末債務×利率替代。</x:v>
      </x:c>
      <x:c r="L449" s="3" t="str">
        <x:v>/Users/yuntzuyu/Downloads/e-loan/Year/e-Loan YYYY-TransUnion 2025.xls</x:v>
      </x:c>
    </x:row>
    <x:row r="450" ht="25" customHeight="1">
      <x:c r="A450" s="3" t="str">
        <x:v>TRANSUNION</x:v>
      </x:c>
      <x:c r="B450" s="3" t="str">
        <x:v>2022-01-01~2022-12-31</x:v>
      </x:c>
      <x:c r="C450" s="3" t="str">
        <x:v>2022-12-31</x:v>
      </x:c>
      <x:c r="D450" s="3" t="str">
        <x:v>Quick ratio</x:v>
      </x:c>
      <x:c r="E450" s="7" t="n">
        <x:f>'計算底稿'!J46</x:f>
        <x:v>1.3102</x:v>
      </x:c>
      <x:c r="F450" s="3" t="str">
        <x:v>%</x:v>
      </x:c>
      <x:c r="G450" s="3" t="str">
        <x:v>原始報表數字</x:v>
      </x:c>
      <x:c r="H450" s="3" t="str">
        <x:v>Report1!D198, Report1!D11, Report1!D12, Report1!D13, Report1!D40</x:v>
      </x:c>
      <x:c r="I450" s="3" t="str">
        <x:v>(現金＋流動金融資產＋應收款項)÷流動負債</x:v>
      </x:c>
      <x:c r="J450" s="3" t="str">
        <x:v>計算底稿!J46</x:v>
      </x:c>
      <x:c r="K450" s="3" t="str">
        <x:v>原值為百分比；非直接以流動資產扣存貨。</x:v>
      </x:c>
      <x:c r="L450" s="3" t="str">
        <x:v>/Users/yuntzuyu/Downloads/e-loan/Year/e-Loan YYYY-TransUnion 2025.xls</x:v>
      </x:c>
    </x:row>
    <x:row r="451" ht="25" customHeight="1">
      <x:c r="A451" s="3" t="str">
        <x:v>TRANSUNION</x:v>
      </x:c>
      <x:c r="B451" s="3" t="str">
        <x:v>2022-01-01~2022-12-31</x:v>
      </x:c>
      <x:c r="C451" s="3" t="str">
        <x:v>2022-12-31</x:v>
      </x:c>
      <x:c r="D451" s="3" t="str">
        <x:v>Debt ratio</x:v>
      </x:c>
      <x:c r="E451" s="7" t="n">
        <x:f>'計算底稿'!K46</x:f>
        <x:v>1.7327000000000001</x:v>
      </x:c>
      <x:c r="F451" s="3" t="str">
        <x:v>%</x:v>
      </x:c>
      <x:c r="G451" s="3" t="str">
        <x:v>原始報表數字</x:v>
      </x:c>
      <x:c r="H451" s="3" t="str">
        <x:v>Report1!D203, Report1!D62, Report1!D70</x:v>
      </x:c>
      <x:c r="I451" s="3" t="str">
        <x:v>總負債÷淨值</x:v>
      </x:c>
      <x:c r="J451" s="3" t="str">
        <x:v>計算底稿!K46</x:v>
      </x:c>
      <x:c r="K451" s="3" t="str">
        <x:v>實際為負債淨值比；非負債資產比，亦非有息債務比。</x:v>
      </x:c>
      <x:c r="L451" s="3" t="str">
        <x:v>/Users/yuntzuyu/Downloads/e-loan/Year/e-Loan YYYY-TransUnion 2025.xls</x:v>
      </x:c>
    </x:row>
    <x:row r="452" ht="25" customHeight="1">
      <x:c r="A452" s="3" t="str">
        <x:v>TRANSUNION</x:v>
      </x:c>
      <x:c r="B452" s="3" t="str">
        <x:v>2022-01-01~2022-12-31</x:v>
      </x:c>
      <x:c r="C452" s="3" t="str">
        <x:v>2022-12-31</x:v>
      </x:c>
      <x:c r="D452" s="3" t="str">
        <x:v>Total debt</x:v>
      </x:c>
      <x:c r="E452" s="6" t="n">
        <x:f>'計算底稿'!L46</x:f>
        <x:v>5671</x:v>
      </x:c>
      <x:c r="F452" s="3" t="str">
        <x:v>USD  million</x:v>
      </x:c>
      <x:c r="G452" s="3" t="str">
        <x:v>推算值／列示項目小計</x:v>
      </x:c>
      <x:c r="H452" s="3" t="str">
        <x:v>Report1!D41, Report1!D43, Report1!D55, Report1!D56</x:v>
      </x:c>
      <x:c r="I452" s="3" t="str">
        <x:v>短期借款＋一年內到期長債＋長期銀行借款＋公司債</x:v>
      </x:c>
      <x:c r="J452" s="3" t="str">
        <x:v>計算底稿!L46</x:v>
      </x:c>
      <x:c r="K452" s="3" t="str">
        <x:v>空白項未計入；租賃等未另加，非契約確認總債務。</x:v>
      </x:c>
      <x:c r="L452" s="3" t="str">
        <x:v>/Users/yuntzuyu/Downloads/e-loan/Year/e-Loan YYYY-TransUnion 2025.xls</x:v>
      </x:c>
    </x:row>
    <x:row r="453" ht="25" customHeight="1">
      <x:c r="A453" s="3" t="str">
        <x:v>TRANSUNION</x:v>
      </x:c>
      <x:c r="B453" s="3" t="str">
        <x:v>2022-01-01~2022-12-31</x:v>
      </x:c>
      <x:c r="C453" s="3" t="str">
        <x:v>2022-12-31</x:v>
      </x:c>
      <x:c r="D453" s="3" t="str">
        <x:v>EBITDA（報表口徑）</x:v>
      </x:c>
      <x:c r="E453" s="6" t="n">
        <x:f>'計算底稿'!M46</x:f>
        <x:v>1138</x:v>
      </x:c>
      <x:c r="F453" s="3" t="str">
        <x:v>USD  million</x:v>
      </x:c>
      <x:c r="G453" s="3" t="str">
        <x:v>推算值</x:v>
      </x:c>
      <x:c r="H453" s="3" t="str">
        <x:v>Report1!D111, Report1!D106, Report1!D121, Report1!D201</x:v>
      </x:c>
      <x:c r="I453" s="3" t="str">
        <x:v>稅前損益＋利息費用＋折舊攤銷</x:v>
      </x:c>
      <x:c r="J453" s="3" t="str">
        <x:v>計算底稿!M46</x:v>
      </x:c>
      <x:c r="K453" s="3" t="str">
        <x:v>可重現原表EBITDA/Interest；含業外損益。</x:v>
      </x:c>
      <x:c r="L453" s="3" t="str">
        <x:v>/Users/yuntzuyu/Downloads/e-loan/Year/e-Loan YYYY-TransUnion 2025.xls</x:v>
      </x:c>
    </x:row>
    <x:row r="454" ht="25" customHeight="1">
      <x:c r="A454" s="3" t="str">
        <x:v>TRANSUNION</x:v>
      </x:c>
      <x:c r="B454" s="3" t="str">
        <x:v>2022-01-01~2022-12-31</x:v>
      </x:c>
      <x:c r="C454" s="3" t="str">
        <x:v>2022-12-31</x:v>
      </x:c>
      <x:c r="D454" s="3" t="str">
        <x:v>EBITDA basis</x:v>
      </x:c>
      <x:c r="E454" s="3" t="str">
        <x:v>稅前損益＋利息＋折舊攤銷</x:v>
      </x:c>
      <x:c r="F454" s="3" t="str">
        <x:v>文字</x:v>
      </x:c>
      <x:c r="G454" s="3" t="str">
        <x:v>口徑說明</x:v>
      </x:c>
      <x:c r="H454" s="3" t="str">
        <x:v>Report1!D111, Report1!D106, Report1!D121</x:v>
      </x:c>
      <x:c r="I454" s="3" t="str">
        <x:v>稅前損益＋利息費用＋折舊攤銷</x:v>
      </x:c>
      <x:c r="J454" s="3" t="str">
        <x:v>計算底稿!M46</x:v>
      </x:c>
      <x:c r="K454" s="3" t="str">
        <x:v>本列為文字定義；不代表Adjusted或契約EBITDA。</x:v>
      </x:c>
      <x:c r="L454" s="3" t="str">
        <x:v>/Users/yuntzuyu/Downloads/e-loan/Year/e-Loan YYYY-TransUnion 2025.xls</x:v>
      </x:c>
    </x:row>
    <x:row r="455" ht="25" customHeight="1">
      <x:c r="A455" s="3" t="str">
        <x:v>TRANSUNION</x:v>
      </x:c>
      <x:c r="B455" s="3" t="str">
        <x:v>2022-01-01~2022-12-31</x:v>
      </x:c>
      <x:c r="C455" s="3" t="str">
        <x:v>2022-12-31</x:v>
      </x:c>
      <x:c r="D455" s="3" t="str">
        <x:v>LTM EBITDA</x:v>
      </x:c>
      <x:c r="E455" s="6" t="n">
        <x:f>'計算底稿'!P46</x:f>
        <x:v>1138</x:v>
      </x:c>
      <x:c r="F455" s="3" t="str">
        <x:v>USD  million</x:v>
      </x:c>
      <x:c r="G455" s="3" t="str">
        <x:v>推算值</x:v>
      </x:c>
      <x:c r="H455" s="3" t="str">
        <x:v>Report1!D111, Report1!D106, Report1!D121</x:v>
      </x:c>
      <x:c r="I455" s="3" t="str">
        <x:v>全年：當年EBITDA；期中：前全年＋本YTD−前YTD</x:v>
      </x:c>
      <x:c r="J455" s="3" t="str">
        <x:v>計算底稿!P46</x:v>
      </x:c>
      <x:c r="K455" s="3" t="str">
        <x:v>期中缺前同期則資料不足；不採YTD×2或×4。</x:v>
      </x:c>
      <x:c r="L455" s="3" t="str">
        <x:v>/Users/yuntzuyu/Downloads/e-loan/Year/e-Loan YYYY-TransUnion 2025.xls</x:v>
      </x:c>
    </x:row>
    <x:row r="456" ht="25" customHeight="1">
      <x:c r="A456" s="3" t="str">
        <x:v>TRANSUNION</x:v>
      </x:c>
      <x:c r="B456" s="3" t="str">
        <x:v>2022-01-01~2022-12-31</x:v>
      </x:c>
      <x:c r="C456" s="3" t="str">
        <x:v>2022-12-31</x:v>
      </x:c>
      <x:c r="D456" s="3" t="str">
        <x:v>Total leverage ratio</x:v>
      </x:c>
      <x:c r="E456" s="8" t="n">
        <x:f>'計算底稿'!Q46</x:f>
        <x:v>4.983304042179262</x:v>
      </x:c>
      <x:c r="F456" s="3" t="str">
        <x:v>倍</x:v>
      </x:c>
      <x:c r="G456" s="3" t="str">
        <x:v>推算值／非契約倍數</x:v>
      </x:c>
      <x:c r="H456" s="3" t="str">
        <x:v>Report1!D41, Report1!D43, Report1!D55, Report1!D56, Report1!D111, Report1!D106, Report1!D121</x:v>
      </x:c>
      <x:c r="I456" s="3" t="str">
        <x:v>期末列示債務合計÷LTM EBITDA</x:v>
      </x:c>
      <x:c r="J456" s="3" t="str">
        <x:v>計算底稿!Q46</x:v>
      </x:c>
      <x:c r="K456" s="3" t="str">
        <x:v>未扣現金；不含未辨識租賃；EBITDA≤0時標示不具意義。</x:v>
      </x:c>
      <x:c r="L456" s="3" t="str">
        <x:v>/Users/yuntzuyu/Downloads/e-loan/Year/e-Loan YYYY-TransUnion 2025.xls</x:v>
      </x:c>
    </x:row>
    <x:row r="457" ht="25" customHeight="1">
      <x:c r="A457" s="3" t="str">
        <x:v>TRANSUNION</x:v>
      </x:c>
      <x:c r="B457" s="3" t="str">
        <x:v>2023-01-01~2023-12-31</x:v>
      </x:c>
      <x:c r="C457" s="3" t="str">
        <x:v>2023-12-31</x:v>
      </x:c>
      <x:c r="D457" s="3" t="str">
        <x:v>Cost of revenues</x:v>
      </x:c>
      <x:c r="E457" s="6" t="n">
        <x:f>'計算底稿'!F47</x:f>
        <x:v>1517</x:v>
      </x:c>
      <x:c r="F457" s="3" t="str">
        <x:v>USD  million</x:v>
      </x:c>
      <x:c r="G457" s="3" t="str">
        <x:v>原始報表數字</x:v>
      </x:c>
      <x:c r="H457" s="3" t="str">
        <x:v>Report1!I86</x:v>
      </x:c>
      <x:c r="I457" s="3" t="str">
        <x:v>營收−毛利（驗算）</x:v>
      </x:c>
      <x:c r="J457" s="3" t="str">
        <x:v>計算底稿!F47</x:v>
      </x:c>
      <x:c r="K457" s="3" t="str">
        <x:v>對應Operating Cost/COGS；缺成本細項。</x:v>
      </x:c>
      <x:c r="L457" s="3" t="str">
        <x:v>/Users/yuntzuyu/Downloads/e-loan/Year/e-Loan YYYY-TransUnion 2025.xls</x:v>
      </x:c>
    </x:row>
    <x:row r="458" ht="25" customHeight="1">
      <x:c r="A458" s="3" t="str">
        <x:v>TRANSUNION</x:v>
      </x:c>
      <x:c r="B458" s="3" t="str">
        <x:v>2023-01-01~2023-12-31</x:v>
      </x:c>
      <x:c r="C458" s="3" t="str">
        <x:v>2023-12-31</x:v>
      </x:c>
      <x:c r="D458" s="3" t="str">
        <x:v>Gross profit</x:v>
      </x:c>
      <x:c r="E458" s="6" t="n">
        <x:f>'計算底稿'!G47</x:f>
        <x:v>2314</x:v>
      </x:c>
      <x:c r="F458" s="3" t="str">
        <x:v>USD  million</x:v>
      </x:c>
      <x:c r="G458" s="3" t="str">
        <x:v>原始報表數字</x:v>
      </x:c>
      <x:c r="H458" s="3" t="str">
        <x:v>Report1!I94, Report1!I80, Report1!I86</x:v>
      </x:c>
      <x:c r="I458" s="3" t="str">
        <x:v>營收−營收成本</x:v>
      </x:c>
      <x:c r="J458" s="3" t="str">
        <x:v>計算底稿!G47</x:v>
      </x:c>
      <x:c r="K458" s="3" t="str">
        <x:v>原值與驗算一致。</x:v>
      </x:c>
      <x:c r="L458" s="3" t="str">
        <x:v>/Users/yuntzuyu/Downloads/e-loan/Year/e-Loan YYYY-TransUnion 2025.xls</x:v>
      </x:c>
    </x:row>
    <x:row r="459" ht="25" customHeight="1">
      <x:c r="A459" s="3" t="str">
        <x:v>TRANSUNION</x:v>
      </x:c>
      <x:c r="B459" s="3" t="str">
        <x:v>2023-01-01~2023-12-31</x:v>
      </x:c>
      <x:c r="C459" s="3" t="str">
        <x:v>2023-12-31</x:v>
      </x:c>
      <x:c r="D459" s="3" t="str">
        <x:v>Operating expense</x:v>
      </x:c>
      <x:c r="E459" s="6" t="n">
        <x:f>'計算底稿'!H47</x:f>
        <x:v>2185</x:v>
      </x:c>
      <x:c r="F459" s="3" t="str">
        <x:v>USD  million</x:v>
      </x:c>
      <x:c r="G459" s="3" t="str">
        <x:v>原始報表數字</x:v>
      </x:c>
      <x:c r="H459" s="3" t="str">
        <x:v>Report1!I96, Report1!I94, Report1!I97</x:v>
      </x:c>
      <x:c r="I459" s="3" t="str">
        <x:v>毛利−營業利益（驗算）</x:v>
      </x:c>
      <x:c r="J459" s="3" t="str">
        <x:v>計算底稿!H47</x:v>
      </x:c>
      <x:c r="K459" s="3" t="str">
        <x:v>缺銷管、研發、減損等細分。</x:v>
      </x:c>
      <x:c r="L459" s="3" t="str">
        <x:v>/Users/yuntzuyu/Downloads/e-loan/Year/e-Loan YYYY-TransUnion 2025.xls</x:v>
      </x:c>
    </x:row>
    <x:row r="460" ht="25" customHeight="1">
      <x:c r="A460" s="3" t="str">
        <x:v>TRANSUNION</x:v>
      </x:c>
      <x:c r="B460" s="3" t="str">
        <x:v>2023-01-01~2023-12-31</x:v>
      </x:c>
      <x:c r="C460" s="3" t="str">
        <x:v>2023-12-31</x:v>
      </x:c>
      <x:c r="D460" s="3" t="str">
        <x:v>Interest expense</x:v>
      </x:c>
      <x:c r="E460" s="6" t="n">
        <x:f>'計算底稿'!I47</x:f>
        <x:v>288</x:v>
      </x:c>
      <x:c r="F460" s="3" t="str">
        <x:v>USD  million</x:v>
      </x:c>
      <x:c r="G460" s="3" t="str">
        <x:v>原始報表數字</x:v>
      </x:c>
      <x:c r="H460" s="3" t="str">
        <x:v>Report1!I106</x:v>
      </x:c>
      <x:c r="I460" s="3" t="str">
        <x:v>直接取原報表第106列</x:v>
      </x:c>
      <x:c r="J460" s="3" t="str">
        <x:v>計算底稿!I47</x:v>
      </x:c>
      <x:c r="K460" s="3" t="str">
        <x:v>屬應計費用；不是現金付息，也不以期末債務×利率替代。</x:v>
      </x:c>
      <x:c r="L460" s="3" t="str">
        <x:v>/Users/yuntzuyu/Downloads/e-loan/Year/e-Loan YYYY-TransUnion 2025.xls</x:v>
      </x:c>
    </x:row>
    <x:row r="461" ht="25" customHeight="1">
      <x:c r="A461" s="3" t="str">
        <x:v>TRANSUNION</x:v>
      </x:c>
      <x:c r="B461" s="3" t="str">
        <x:v>2023-01-01~2023-12-31</x:v>
      </x:c>
      <x:c r="C461" s="3" t="str">
        <x:v>2023-12-31</x:v>
      </x:c>
      <x:c r="D461" s="3" t="str">
        <x:v>Quick ratio</x:v>
      </x:c>
      <x:c r="E461" s="7" t="n">
        <x:f>'計算底稿'!J47</x:f>
        <x:v>1.1954</x:v>
      </x:c>
      <x:c r="F461" s="3" t="str">
        <x:v>%</x:v>
      </x:c>
      <x:c r="G461" s="3" t="str">
        <x:v>原始報表數字</x:v>
      </x:c>
      <x:c r="H461" s="3" t="str">
        <x:v>Report1!I198, Report1!I11, Report1!I12, Report1!I13, Report1!I40</x:v>
      </x:c>
      <x:c r="I461" s="3" t="str">
        <x:v>(現金＋流動金融資產＋應收款項)÷流動負債</x:v>
      </x:c>
      <x:c r="J461" s="3" t="str">
        <x:v>計算底稿!J47</x:v>
      </x:c>
      <x:c r="K461" s="3" t="str">
        <x:v>原值為百分比；非直接以流動資產扣存貨。</x:v>
      </x:c>
      <x:c r="L461" s="3" t="str">
        <x:v>/Users/yuntzuyu/Downloads/e-loan/Year/e-Loan YYYY-TransUnion 2025.xls</x:v>
      </x:c>
    </x:row>
    <x:row r="462" ht="25" customHeight="1">
      <x:c r="A462" s="3" t="str">
        <x:v>TRANSUNION</x:v>
      </x:c>
      <x:c r="B462" s="3" t="str">
        <x:v>2023-01-01~2023-12-31</x:v>
      </x:c>
      <x:c r="C462" s="3" t="str">
        <x:v>2023-12-31</x:v>
      </x:c>
      <x:c r="D462" s="3" t="str">
        <x:v>Debt ratio</x:v>
      </x:c>
      <x:c r="E462" s="7" t="n">
        <x:f>'計算底稿'!K47</x:f>
        <x:v>1.7052</x:v>
      </x:c>
      <x:c r="F462" s="3" t="str">
        <x:v>%</x:v>
      </x:c>
      <x:c r="G462" s="3" t="str">
        <x:v>原始報表數字</x:v>
      </x:c>
      <x:c r="H462" s="3" t="str">
        <x:v>Report1!I203, Report1!I62, Report1!I70</x:v>
      </x:c>
      <x:c r="I462" s="3" t="str">
        <x:v>總負債÷淨值</x:v>
      </x:c>
      <x:c r="J462" s="3" t="str">
        <x:v>計算底稿!K47</x:v>
      </x:c>
      <x:c r="K462" s="3" t="str">
        <x:v>實際為負債淨值比；非負債資產比，亦非有息債務比。</x:v>
      </x:c>
      <x:c r="L462" s="3" t="str">
        <x:v>/Users/yuntzuyu/Downloads/e-loan/Year/e-Loan YYYY-TransUnion 2025.xls</x:v>
      </x:c>
    </x:row>
    <x:row r="463" ht="25" customHeight="1">
      <x:c r="A463" s="3" t="str">
        <x:v>TRANSUNION</x:v>
      </x:c>
      <x:c r="B463" s="3" t="str">
        <x:v>2023-01-01~2023-12-31</x:v>
      </x:c>
      <x:c r="C463" s="3" t="str">
        <x:v>2023-12-31</x:v>
      </x:c>
      <x:c r="D463" s="3" t="str">
        <x:v>Total debt</x:v>
      </x:c>
      <x:c r="E463" s="6" t="n">
        <x:f>'計算底稿'!L47</x:f>
        <x:v>5341</x:v>
      </x:c>
      <x:c r="F463" s="3" t="str">
        <x:v>USD  million</x:v>
      </x:c>
      <x:c r="G463" s="3" t="str">
        <x:v>推算值／列示項目小計</x:v>
      </x:c>
      <x:c r="H463" s="3" t="str">
        <x:v>Report1!I41, Report1!I43, Report1!I55, Report1!I56</x:v>
      </x:c>
      <x:c r="I463" s="3" t="str">
        <x:v>短期借款＋一年內到期長債＋長期銀行借款＋公司債</x:v>
      </x:c>
      <x:c r="J463" s="3" t="str">
        <x:v>計算底稿!L47</x:v>
      </x:c>
      <x:c r="K463" s="3" t="str">
        <x:v>空白項未計入；租賃等未另加，非契約確認總債務。</x:v>
      </x:c>
      <x:c r="L463" s="3" t="str">
        <x:v>/Users/yuntzuyu/Downloads/e-loan/Year/e-Loan YYYY-TransUnion 2025.xls</x:v>
      </x:c>
    </x:row>
    <x:row r="464" ht="25" customHeight="1">
      <x:c r="A464" s="3" t="str">
        <x:v>TRANSUNION</x:v>
      </x:c>
      <x:c r="B464" s="3" t="str">
        <x:v>2023-01-01~2023-12-31</x:v>
      </x:c>
      <x:c r="C464" s="3" t="str">
        <x:v>2023-12-31</x:v>
      </x:c>
      <x:c r="D464" s="3" t="str">
        <x:v>EBITDA（報表口徑）</x:v>
      </x:c>
      <x:c r="E464" s="6" t="n">
        <x:f>'計算底稿'!M47</x:f>
        <x:v>667</x:v>
      </x:c>
      <x:c r="F464" s="3" t="str">
        <x:v>USD  million</x:v>
      </x:c>
      <x:c r="G464" s="3" t="str">
        <x:v>推算值</x:v>
      </x:c>
      <x:c r="H464" s="3" t="str">
        <x:v>Report1!I111, Report1!I106, Report1!I121, Report1!I201</x:v>
      </x:c>
      <x:c r="I464" s="3" t="str">
        <x:v>稅前損益＋利息費用＋折舊攤銷</x:v>
      </x:c>
      <x:c r="J464" s="3" t="str">
        <x:v>計算底稿!M47</x:v>
      </x:c>
      <x:c r="K464" s="3" t="str">
        <x:v>可重現原表EBITDA/Interest；含業外損益。</x:v>
      </x:c>
      <x:c r="L464" s="3" t="str">
        <x:v>/Users/yuntzuyu/Downloads/e-loan/Year/e-Loan YYYY-TransUnion 2025.xls</x:v>
      </x:c>
    </x:row>
    <x:row r="465" ht="25" customHeight="1">
      <x:c r="A465" s="3" t="str">
        <x:v>TRANSUNION</x:v>
      </x:c>
      <x:c r="B465" s="3" t="str">
        <x:v>2023-01-01~2023-12-31</x:v>
      </x:c>
      <x:c r="C465" s="3" t="str">
        <x:v>2023-12-31</x:v>
      </x:c>
      <x:c r="D465" s="3" t="str">
        <x:v>EBITDA basis</x:v>
      </x:c>
      <x:c r="E465" s="3" t="str">
        <x:v>稅前損益＋利息＋折舊攤銷</x:v>
      </x:c>
      <x:c r="F465" s="3" t="str">
        <x:v>文字</x:v>
      </x:c>
      <x:c r="G465" s="3" t="str">
        <x:v>口徑說明</x:v>
      </x:c>
      <x:c r="H465" s="3" t="str">
        <x:v>Report1!I111, Report1!I106, Report1!I121</x:v>
      </x:c>
      <x:c r="I465" s="3" t="str">
        <x:v>稅前損益＋利息費用＋折舊攤銷</x:v>
      </x:c>
      <x:c r="J465" s="3" t="str">
        <x:v>計算底稿!M47</x:v>
      </x:c>
      <x:c r="K465" s="3" t="str">
        <x:v>本列為文字定義；不代表Adjusted或契約EBITDA。</x:v>
      </x:c>
      <x:c r="L465" s="3" t="str">
        <x:v>/Users/yuntzuyu/Downloads/e-loan/Year/e-Loan YYYY-TransUnion 2025.xls</x:v>
      </x:c>
    </x:row>
    <x:row r="466" ht="25" customHeight="1">
      <x:c r="A466" s="3" t="str">
        <x:v>TRANSUNION</x:v>
      </x:c>
      <x:c r="B466" s="3" t="str">
        <x:v>2023-01-01~2023-12-31</x:v>
      </x:c>
      <x:c r="C466" s="3" t="str">
        <x:v>2023-12-31</x:v>
      </x:c>
      <x:c r="D466" s="3" t="str">
        <x:v>LTM EBITDA</x:v>
      </x:c>
      <x:c r="E466" s="6" t="n">
        <x:f>'計算底稿'!P47</x:f>
        <x:v>667</x:v>
      </x:c>
      <x:c r="F466" s="3" t="str">
        <x:v>USD  million</x:v>
      </x:c>
      <x:c r="G466" s="3" t="str">
        <x:v>推算值</x:v>
      </x:c>
      <x:c r="H466" s="3" t="str">
        <x:v>Report1!I111, Report1!I106, Report1!I121</x:v>
      </x:c>
      <x:c r="I466" s="3" t="str">
        <x:v>全年：當年EBITDA；期中：前全年＋本YTD−前YTD</x:v>
      </x:c>
      <x:c r="J466" s="3" t="str">
        <x:v>計算底稿!P47</x:v>
      </x:c>
      <x:c r="K466" s="3" t="str">
        <x:v>期中缺前同期則資料不足；不採YTD×2或×4。</x:v>
      </x:c>
      <x:c r="L466" s="3" t="str">
        <x:v>/Users/yuntzuyu/Downloads/e-loan/Year/e-Loan YYYY-TransUnion 2025.xls</x:v>
      </x:c>
    </x:row>
    <x:row r="467" ht="25" customHeight="1">
      <x:c r="A467" s="3" t="str">
        <x:v>TRANSUNION</x:v>
      </x:c>
      <x:c r="B467" s="3" t="str">
        <x:v>2023-01-01~2023-12-31</x:v>
      </x:c>
      <x:c r="C467" s="3" t="str">
        <x:v>2023-12-31</x:v>
      </x:c>
      <x:c r="D467" s="3" t="str">
        <x:v>Total leverage ratio</x:v>
      </x:c>
      <x:c r="E467" s="8" t="n">
        <x:f>'計算底稿'!Q47</x:f>
        <x:v>8.007496251874063</x:v>
      </x:c>
      <x:c r="F467" s="3" t="str">
        <x:v>倍</x:v>
      </x:c>
      <x:c r="G467" s="3" t="str">
        <x:v>推算值／非契約倍數</x:v>
      </x:c>
      <x:c r="H467" s="3" t="str">
        <x:v>Report1!I41, Report1!I43, Report1!I55, Report1!I56, Report1!I111, Report1!I106, Report1!I121</x:v>
      </x:c>
      <x:c r="I467" s="3" t="str">
        <x:v>期末列示債務合計÷LTM EBITDA</x:v>
      </x:c>
      <x:c r="J467" s="3" t="str">
        <x:v>計算底稿!Q47</x:v>
      </x:c>
      <x:c r="K467" s="3" t="str">
        <x:v>未扣現金；不含未辨識租賃；EBITDA≤0時標示不具意義。</x:v>
      </x:c>
      <x:c r="L467" s="3" t="str">
        <x:v>/Users/yuntzuyu/Downloads/e-loan/Year/e-Loan YYYY-TransUnion 2025.xls</x:v>
      </x:c>
    </x:row>
    <x:row r="468" ht="25" customHeight="1">
      <x:c r="A468" s="3" t="str">
        <x:v>TRANSUNION</x:v>
      </x:c>
      <x:c r="B468" s="3" t="str">
        <x:v>2024-01-01~2024-12-31</x:v>
      </x:c>
      <x:c r="C468" s="3" t="str">
        <x:v>2024-12-31</x:v>
      </x:c>
      <x:c r="D468" s="3" t="str">
        <x:v>Cost of revenues</x:v>
      </x:c>
      <x:c r="E468" s="6" t="n">
        <x:f>'計算底稿'!F48</x:f>
        <x:v>1673</x:v>
      </x:c>
      <x:c r="F468" s="3" t="str">
        <x:v>USD  million</x:v>
      </x:c>
      <x:c r="G468" s="3" t="str">
        <x:v>原始報表數字</x:v>
      </x:c>
      <x:c r="H468" s="3" t="str">
        <x:v>Report1!M86</x:v>
      </x:c>
      <x:c r="I468" s="3" t="str">
        <x:v>營收−毛利（驗算）</x:v>
      </x:c>
      <x:c r="J468" s="3" t="str">
        <x:v>計算底稿!F48</x:v>
      </x:c>
      <x:c r="K468" s="3" t="str">
        <x:v>對應Operating Cost/COGS；缺成本細項。</x:v>
      </x:c>
      <x:c r="L468" s="3" t="str">
        <x:v>/Users/yuntzuyu/Downloads/e-loan/Year/e-Loan YYYY-TransUnion 2025.xls</x:v>
      </x:c>
    </x:row>
    <x:row r="469" ht="25" customHeight="1">
      <x:c r="A469" s="3" t="str">
        <x:v>TRANSUNION</x:v>
      </x:c>
      <x:c r="B469" s="3" t="str">
        <x:v>2024-01-01~2024-12-31</x:v>
      </x:c>
      <x:c r="C469" s="3" t="str">
        <x:v>2024-12-31</x:v>
      </x:c>
      <x:c r="D469" s="3" t="str">
        <x:v>Gross profit</x:v>
      </x:c>
      <x:c r="E469" s="6" t="n">
        <x:f>'計算底稿'!G48</x:f>
        <x:v>2511</x:v>
      </x:c>
      <x:c r="F469" s="3" t="str">
        <x:v>USD  million</x:v>
      </x:c>
      <x:c r="G469" s="3" t="str">
        <x:v>原始報表數字</x:v>
      </x:c>
      <x:c r="H469" s="3" t="str">
        <x:v>Report1!M94, Report1!M80, Report1!M86</x:v>
      </x:c>
      <x:c r="I469" s="3" t="str">
        <x:v>營收−營收成本</x:v>
      </x:c>
      <x:c r="J469" s="3" t="str">
        <x:v>計算底稿!G48</x:v>
      </x:c>
      <x:c r="K469" s="3" t="str">
        <x:v>原值與驗算一致。</x:v>
      </x:c>
      <x:c r="L469" s="3" t="str">
        <x:v>/Users/yuntzuyu/Downloads/e-loan/Year/e-Loan YYYY-TransUnion 2025.xls</x:v>
      </x:c>
    </x:row>
    <x:row r="470" ht="25" customHeight="1">
      <x:c r="A470" s="3" t="str">
        <x:v>TRANSUNION</x:v>
      </x:c>
      <x:c r="B470" s="3" t="str">
        <x:v>2024-01-01~2024-12-31</x:v>
      </x:c>
      <x:c r="C470" s="3" t="str">
        <x:v>2024-12-31</x:v>
      </x:c>
      <x:c r="D470" s="3" t="str">
        <x:v>Operating expense</x:v>
      </x:c>
      <x:c r="E470" s="6" t="n">
        <x:f>'計算底稿'!H48</x:f>
        <x:v>1844</x:v>
      </x:c>
      <x:c r="F470" s="3" t="str">
        <x:v>USD  million</x:v>
      </x:c>
      <x:c r="G470" s="3" t="str">
        <x:v>原始報表數字</x:v>
      </x:c>
      <x:c r="H470" s="3" t="str">
        <x:v>Report1!M96, Report1!M94, Report1!M97</x:v>
      </x:c>
      <x:c r="I470" s="3" t="str">
        <x:v>毛利−營業利益（驗算）</x:v>
      </x:c>
      <x:c r="J470" s="3" t="str">
        <x:v>計算底稿!H48</x:v>
      </x:c>
      <x:c r="K470" s="3" t="str">
        <x:v>缺銷管、研發、減損等細分。</x:v>
      </x:c>
      <x:c r="L470" s="3" t="str">
        <x:v>/Users/yuntzuyu/Downloads/e-loan/Year/e-Loan YYYY-TransUnion 2025.xls</x:v>
      </x:c>
    </x:row>
    <x:row r="471" ht="25" customHeight="1">
      <x:c r="A471" s="3" t="str">
        <x:v>TRANSUNION</x:v>
      </x:c>
      <x:c r="B471" s="3" t="str">
        <x:v>2024-01-01~2024-12-31</x:v>
      </x:c>
      <x:c r="C471" s="3" t="str">
        <x:v>2024-12-31</x:v>
      </x:c>
      <x:c r="D471" s="3" t="str">
        <x:v>Interest expense</x:v>
      </x:c>
      <x:c r="E471" s="6" t="n">
        <x:f>'計算底稿'!I48</x:f>
        <x:v>265</x:v>
      </x:c>
      <x:c r="F471" s="3" t="str">
        <x:v>USD  million</x:v>
      </x:c>
      <x:c r="G471" s="3" t="str">
        <x:v>原始報表數字</x:v>
      </x:c>
      <x:c r="H471" s="3" t="str">
        <x:v>Report1!M106</x:v>
      </x:c>
      <x:c r="I471" s="3" t="str">
        <x:v>直接取原報表第106列</x:v>
      </x:c>
      <x:c r="J471" s="3" t="str">
        <x:v>計算底稿!I48</x:v>
      </x:c>
      <x:c r="K471" s="3" t="str">
        <x:v>屬應計費用；不是現金付息，也不以期末債務×利率替代。</x:v>
      </x:c>
      <x:c r="L471" s="3" t="str">
        <x:v>/Users/yuntzuyu/Downloads/e-loan/Year/e-Loan YYYY-TransUnion 2025.xls</x:v>
      </x:c>
    </x:row>
    <x:row r="472" ht="25" customHeight="1">
      <x:c r="A472" s="3" t="str">
        <x:v>TRANSUNION</x:v>
      </x:c>
      <x:c r="B472" s="3" t="str">
        <x:v>2024-01-01~2024-12-31</x:v>
      </x:c>
      <x:c r="C472" s="3" t="str">
        <x:v>2024-12-31</x:v>
      </x:c>
      <x:c r="D472" s="3" t="str">
        <x:v>Quick ratio</x:v>
      </x:c>
      <x:c r="E472" s="7" t="n">
        <x:f>'計算底稿'!J48</x:f>
        <x:v>1.3953</x:v>
      </x:c>
      <x:c r="F472" s="3" t="str">
        <x:v>%</x:v>
      </x:c>
      <x:c r="G472" s="3" t="str">
        <x:v>原始報表數字</x:v>
      </x:c>
      <x:c r="H472" s="3" t="str">
        <x:v>Report1!M198, Report1!M11, Report1!M12, Report1!M13, Report1!M40</x:v>
      </x:c>
      <x:c r="I472" s="3" t="str">
        <x:v>(現金＋流動金融資產＋應收款項)÷流動負債</x:v>
      </x:c>
      <x:c r="J472" s="3" t="str">
        <x:v>計算底稿!J48</x:v>
      </x:c>
      <x:c r="K472" s="3" t="str">
        <x:v>原值為百分比；非直接以流動資產扣存貨。</x:v>
      </x:c>
      <x:c r="L472" s="3" t="str">
        <x:v>/Users/yuntzuyu/Downloads/e-loan/Year/e-Loan YYYY-TransUnion 2025.xls</x:v>
      </x:c>
    </x:row>
    <x:row r="473" ht="25" customHeight="1">
      <x:c r="A473" s="3" t="str">
        <x:v>TRANSUNION</x:v>
      </x:c>
      <x:c r="B473" s="3" t="str">
        <x:v>2024-01-01~2024-12-31</x:v>
      </x:c>
      <x:c r="C473" s="3" t="str">
        <x:v>2024-12-31</x:v>
      </x:c>
      <x:c r="D473" s="3" t="str">
        <x:v>Debt ratio</x:v>
      </x:c>
      <x:c r="E473" s="7" t="n">
        <x:f>'計算底稿'!K48</x:f>
        <x:v>1.5444</x:v>
      </x:c>
      <x:c r="F473" s="3" t="str">
        <x:v>%</x:v>
      </x:c>
      <x:c r="G473" s="3" t="str">
        <x:v>原始報表數字</x:v>
      </x:c>
      <x:c r="H473" s="3" t="str">
        <x:v>Report1!M203, Report1!M62, Report1!M70</x:v>
      </x:c>
      <x:c r="I473" s="3" t="str">
        <x:v>總負債÷淨值</x:v>
      </x:c>
      <x:c r="J473" s="3" t="str">
        <x:v>計算底稿!K48</x:v>
      </x:c>
      <x:c r="K473" s="3" t="str">
        <x:v>實際為負債淨值比；非負債資產比，亦非有息債務比。</x:v>
      </x:c>
      <x:c r="L473" s="3" t="str">
        <x:v>/Users/yuntzuyu/Downloads/e-loan/Year/e-Loan YYYY-TransUnion 2025.xls</x:v>
      </x:c>
    </x:row>
    <x:row r="474" ht="25" customHeight="1">
      <x:c r="A474" s="3" t="str">
        <x:v>TRANSUNION</x:v>
      </x:c>
      <x:c r="B474" s="3" t="str">
        <x:v>2024-01-01~2024-12-31</x:v>
      </x:c>
      <x:c r="C474" s="3" t="str">
        <x:v>2024-12-31</x:v>
      </x:c>
      <x:c r="D474" s="3" t="str">
        <x:v>Total debt</x:v>
      </x:c>
      <x:c r="E474" s="6" t="n">
        <x:f>'計算底稿'!L48</x:f>
        <x:v>5148</x:v>
      </x:c>
      <x:c r="F474" s="3" t="str">
        <x:v>USD  million</x:v>
      </x:c>
      <x:c r="G474" s="3" t="str">
        <x:v>推算值／列示項目小計</x:v>
      </x:c>
      <x:c r="H474" s="3" t="str">
        <x:v>Report1!M41, Report1!M43, Report1!M55, Report1!M56</x:v>
      </x:c>
      <x:c r="I474" s="3" t="str">
        <x:v>短期借款＋一年內到期長債＋長期銀行借款＋公司債</x:v>
      </x:c>
      <x:c r="J474" s="3" t="str">
        <x:v>計算底稿!L48</x:v>
      </x:c>
      <x:c r="K474" s="3" t="str">
        <x:v>空白項未計入；租賃等未另加，非契約確認總債務。</x:v>
      </x:c>
      <x:c r="L474" s="3" t="str">
        <x:v>/Users/yuntzuyu/Downloads/e-loan/Year/e-Loan YYYY-TransUnion 2025.xls</x:v>
      </x:c>
    </x:row>
    <x:row r="475" ht="25" customHeight="1">
      <x:c r="A475" s="3" t="str">
        <x:v>TRANSUNION</x:v>
      </x:c>
      <x:c r="B475" s="3" t="str">
        <x:v>2024-01-01~2024-12-31</x:v>
      </x:c>
      <x:c r="C475" s="3" t="str">
        <x:v>2024-12-31</x:v>
      </x:c>
      <x:c r="D475" s="3" t="str">
        <x:v>EBITDA（報表口徑）</x:v>
      </x:c>
      <x:c r="E475" s="6" t="n">
        <x:f>'計算底稿'!M48</x:f>
        <x:v>1190</x:v>
      </x:c>
      <x:c r="F475" s="3" t="str">
        <x:v>USD  million</x:v>
      </x:c>
      <x:c r="G475" s="3" t="str">
        <x:v>推算值</x:v>
      </x:c>
      <x:c r="H475" s="3" t="str">
        <x:v>Report1!M111, Report1!M106, Report1!M121, Report1!M201</x:v>
      </x:c>
      <x:c r="I475" s="3" t="str">
        <x:v>稅前損益＋利息費用＋折舊攤銷</x:v>
      </x:c>
      <x:c r="J475" s="3" t="str">
        <x:v>計算底稿!M48</x:v>
      </x:c>
      <x:c r="K475" s="3" t="str">
        <x:v>可重現原表EBITDA/Interest；含業外損益。</x:v>
      </x:c>
      <x:c r="L475" s="3" t="str">
        <x:v>/Users/yuntzuyu/Downloads/e-loan/Year/e-Loan YYYY-TransUnion 2025.xls</x:v>
      </x:c>
    </x:row>
    <x:row r="476" ht="25" customHeight="1">
      <x:c r="A476" s="3" t="str">
        <x:v>TRANSUNION</x:v>
      </x:c>
      <x:c r="B476" s="3" t="str">
        <x:v>2024-01-01~2024-12-31</x:v>
      </x:c>
      <x:c r="C476" s="3" t="str">
        <x:v>2024-12-31</x:v>
      </x:c>
      <x:c r="D476" s="3" t="str">
        <x:v>EBITDA basis</x:v>
      </x:c>
      <x:c r="E476" s="3" t="str">
        <x:v>稅前損益＋利息＋折舊攤銷</x:v>
      </x:c>
      <x:c r="F476" s="3" t="str">
        <x:v>文字</x:v>
      </x:c>
      <x:c r="G476" s="3" t="str">
        <x:v>口徑說明</x:v>
      </x:c>
      <x:c r="H476" s="3" t="str">
        <x:v>Report1!M111, Report1!M106, Report1!M121</x:v>
      </x:c>
      <x:c r="I476" s="3" t="str">
        <x:v>稅前損益＋利息費用＋折舊攤銷</x:v>
      </x:c>
      <x:c r="J476" s="3" t="str">
        <x:v>計算底稿!M48</x:v>
      </x:c>
      <x:c r="K476" s="3" t="str">
        <x:v>本列為文字定義；不代表Adjusted或契約EBITDA。</x:v>
      </x:c>
      <x:c r="L476" s="3" t="str">
        <x:v>/Users/yuntzuyu/Downloads/e-loan/Year/e-Loan YYYY-TransUnion 2025.xls</x:v>
      </x:c>
    </x:row>
    <x:row r="477" ht="25" customHeight="1">
      <x:c r="A477" s="3" t="str">
        <x:v>TRANSUNION</x:v>
      </x:c>
      <x:c r="B477" s="3" t="str">
        <x:v>2024-01-01~2024-12-31</x:v>
      </x:c>
      <x:c r="C477" s="3" t="str">
        <x:v>2024-12-31</x:v>
      </x:c>
      <x:c r="D477" s="3" t="str">
        <x:v>LTM EBITDA</x:v>
      </x:c>
      <x:c r="E477" s="6" t="n">
        <x:f>'計算底稿'!P48</x:f>
        <x:v>1190</x:v>
      </x:c>
      <x:c r="F477" s="3" t="str">
        <x:v>USD  million</x:v>
      </x:c>
      <x:c r="G477" s="3" t="str">
        <x:v>推算值</x:v>
      </x:c>
      <x:c r="H477" s="3" t="str">
        <x:v>Report1!M111, Report1!M106, Report1!M121</x:v>
      </x:c>
      <x:c r="I477" s="3" t="str">
        <x:v>全年：當年EBITDA；期中：前全年＋本YTD−前YTD</x:v>
      </x:c>
      <x:c r="J477" s="3" t="str">
        <x:v>計算底稿!P48</x:v>
      </x:c>
      <x:c r="K477" s="3" t="str">
        <x:v>期中缺前同期則資料不足；不採YTD×2或×4。</x:v>
      </x:c>
      <x:c r="L477" s="3" t="str">
        <x:v>/Users/yuntzuyu/Downloads/e-loan/Year/e-Loan YYYY-TransUnion 2025.xls</x:v>
      </x:c>
    </x:row>
    <x:row r="478" ht="25" customHeight="1">
      <x:c r="A478" s="3" t="str">
        <x:v>TRANSUNION</x:v>
      </x:c>
      <x:c r="B478" s="3" t="str">
        <x:v>2024-01-01~2024-12-31</x:v>
      </x:c>
      <x:c r="C478" s="3" t="str">
        <x:v>2024-12-31</x:v>
      </x:c>
      <x:c r="D478" s="3" t="str">
        <x:v>Total leverage ratio</x:v>
      </x:c>
      <x:c r="E478" s="8" t="n">
        <x:f>'計算底稿'!Q48</x:f>
        <x:v>4.326050420168067</x:v>
      </x:c>
      <x:c r="F478" s="3" t="str">
        <x:v>倍</x:v>
      </x:c>
      <x:c r="G478" s="3" t="str">
        <x:v>推算值／非契約倍數</x:v>
      </x:c>
      <x:c r="H478" s="3" t="str">
        <x:v>Report1!M41, Report1!M43, Report1!M55, Report1!M56, Report1!M111, Report1!M106, Report1!M121</x:v>
      </x:c>
      <x:c r="I478" s="3" t="str">
        <x:v>期末列示債務合計÷LTM EBITDA</x:v>
      </x:c>
      <x:c r="J478" s="3" t="str">
        <x:v>計算底稿!Q48</x:v>
      </x:c>
      <x:c r="K478" s="3" t="str">
        <x:v>未扣現金；不含未辨識租賃；EBITDA≤0時標示不具意義。</x:v>
      </x:c>
      <x:c r="L478" s="3" t="str">
        <x:v>/Users/yuntzuyu/Downloads/e-loan/Year/e-Loan YYYY-TransUnion 2025.xls</x:v>
      </x:c>
    </x:row>
    <x:row r="479" ht="25" customHeight="1">
      <x:c r="A479" s="3" t="str">
        <x:v>TRANSUNION</x:v>
      </x:c>
      <x:c r="B479" s="3" t="str">
        <x:v>2025-01-01~2025-12-31</x:v>
      </x:c>
      <x:c r="C479" s="3" t="str">
        <x:v>2025-12-31</x:v>
      </x:c>
      <x:c r="D479" s="3" t="str">
        <x:v>Cost of revenues</x:v>
      </x:c>
      <x:c r="E479" s="6" t="n">
        <x:f>'計算底稿'!F49</x:f>
        <x:v>1872</x:v>
      </x:c>
      <x:c r="F479" s="3" t="str">
        <x:v>USD  million</x:v>
      </x:c>
      <x:c r="G479" s="3" t="str">
        <x:v>原始報表數字</x:v>
      </x:c>
      <x:c r="H479" s="3" t="str">
        <x:v>Report1!R86</x:v>
      </x:c>
      <x:c r="I479" s="3" t="str">
        <x:v>營收−毛利（驗算）</x:v>
      </x:c>
      <x:c r="J479" s="3" t="str">
        <x:v>計算底稿!F49</x:v>
      </x:c>
      <x:c r="K479" s="3" t="str">
        <x:v>對應Operating Cost/COGS；缺成本細項。</x:v>
      </x:c>
      <x:c r="L479" s="3" t="str">
        <x:v>/Users/yuntzuyu/Downloads/e-loan/Year/e-Loan YYYY-TransUnion 2025.xls</x:v>
      </x:c>
    </x:row>
    <x:row r="480" ht="25" customHeight="1">
      <x:c r="A480" s="3" t="str">
        <x:v>TRANSUNION</x:v>
      </x:c>
      <x:c r="B480" s="3" t="str">
        <x:v>2025-01-01~2025-12-31</x:v>
      </x:c>
      <x:c r="C480" s="3" t="str">
        <x:v>2025-12-31</x:v>
      </x:c>
      <x:c r="D480" s="3" t="str">
        <x:v>Gross profit</x:v>
      </x:c>
      <x:c r="E480" s="6" t="n">
        <x:f>'計算底稿'!G49</x:f>
        <x:v>2704</x:v>
      </x:c>
      <x:c r="F480" s="3" t="str">
        <x:v>USD  million</x:v>
      </x:c>
      <x:c r="G480" s="3" t="str">
        <x:v>原始報表數字</x:v>
      </x:c>
      <x:c r="H480" s="3" t="str">
        <x:v>Report1!R94, Report1!R80, Report1!R86</x:v>
      </x:c>
      <x:c r="I480" s="3" t="str">
        <x:v>營收−營收成本</x:v>
      </x:c>
      <x:c r="J480" s="3" t="str">
        <x:v>計算底稿!G49</x:v>
      </x:c>
      <x:c r="K480" s="3" t="str">
        <x:v>原值與驗算一致。</x:v>
      </x:c>
      <x:c r="L480" s="3" t="str">
        <x:v>/Users/yuntzuyu/Downloads/e-loan/Year/e-Loan YYYY-TransUnion 2025.xls</x:v>
      </x:c>
    </x:row>
    <x:row r="481" ht="25" customHeight="1">
      <x:c r="A481" s="3" t="str">
        <x:v>TRANSUNION</x:v>
      </x:c>
      <x:c r="B481" s="3" t="str">
        <x:v>2025-01-01~2025-12-31</x:v>
      </x:c>
      <x:c r="C481" s="3" t="str">
        <x:v>2025-12-31</x:v>
      </x:c>
      <x:c r="D481" s="3" t="str">
        <x:v>Operating expense</x:v>
      </x:c>
      <x:c r="E481" s="6" t="n">
        <x:f>'計算底稿'!H49</x:f>
        <x:v>1846</x:v>
      </x:c>
      <x:c r="F481" s="3" t="str">
        <x:v>USD  million</x:v>
      </x:c>
      <x:c r="G481" s="3" t="str">
        <x:v>原始報表數字</x:v>
      </x:c>
      <x:c r="H481" s="3" t="str">
        <x:v>Report1!R96, Report1!R94, Report1!R97</x:v>
      </x:c>
      <x:c r="I481" s="3" t="str">
        <x:v>毛利−營業利益（驗算）</x:v>
      </x:c>
      <x:c r="J481" s="3" t="str">
        <x:v>計算底稿!H49</x:v>
      </x:c>
      <x:c r="K481" s="3" t="str">
        <x:v>缺銷管、研發、減損等細分。</x:v>
      </x:c>
      <x:c r="L481" s="3" t="str">
        <x:v>/Users/yuntzuyu/Downloads/e-loan/Year/e-Loan YYYY-TransUnion 2025.xls</x:v>
      </x:c>
    </x:row>
    <x:row r="482" ht="25" customHeight="1">
      <x:c r="A482" s="3" t="str">
        <x:v>TRANSUNION</x:v>
      </x:c>
      <x:c r="B482" s="3" t="str">
        <x:v>2025-01-01~2025-12-31</x:v>
      </x:c>
      <x:c r="C482" s="3" t="str">
        <x:v>2025-12-31</x:v>
      </x:c>
      <x:c r="D482" s="3" t="str">
        <x:v>Interest expense</x:v>
      </x:c>
      <x:c r="E482" s="6" t="n">
        <x:f>'計算底稿'!I49</x:f>
        <x:v>236</x:v>
      </x:c>
      <x:c r="F482" s="3" t="str">
        <x:v>USD  million</x:v>
      </x:c>
      <x:c r="G482" s="3" t="str">
        <x:v>原始報表數字</x:v>
      </x:c>
      <x:c r="H482" s="3" t="str">
        <x:v>Report1!R106</x:v>
      </x:c>
      <x:c r="I482" s="3" t="str">
        <x:v>直接取原報表第106列</x:v>
      </x:c>
      <x:c r="J482" s="3" t="str">
        <x:v>計算底稿!I49</x:v>
      </x:c>
      <x:c r="K482" s="3" t="str">
        <x:v>屬應計費用；不是現金付息，也不以期末債務×利率替代。</x:v>
      </x:c>
      <x:c r="L482" s="3" t="str">
        <x:v>/Users/yuntzuyu/Downloads/e-loan/Year/e-Loan YYYY-TransUnion 2025.xls</x:v>
      </x:c>
    </x:row>
    <x:row r="483" ht="25" customHeight="1">
      <x:c r="A483" s="3" t="str">
        <x:v>TRANSUNION</x:v>
      </x:c>
      <x:c r="B483" s="3" t="str">
        <x:v>2025-01-01~2025-12-31</x:v>
      </x:c>
      <x:c r="C483" s="3" t="str">
        <x:v>2025-12-31</x:v>
      </x:c>
      <x:c r="D483" s="3" t="str">
        <x:v>Quick ratio</x:v>
      </x:c>
      <x:c r="E483" s="7" t="n">
        <x:f>'計算底稿'!J49</x:f>
        <x:v>1.5221</x:v>
      </x:c>
      <x:c r="F483" s="3" t="str">
        <x:v>%</x:v>
      </x:c>
      <x:c r="G483" s="3" t="str">
        <x:v>原始報表數字</x:v>
      </x:c>
      <x:c r="H483" s="3" t="str">
        <x:v>Report1!R198, Report1!R11, Report1!R12, Report1!R13, Report1!R40</x:v>
      </x:c>
      <x:c r="I483" s="3" t="str">
        <x:v>(現金＋流動金融資產＋應收款項)÷流動負債</x:v>
      </x:c>
      <x:c r="J483" s="3" t="str">
        <x:v>計算底稿!J49</x:v>
      </x:c>
      <x:c r="K483" s="3" t="str">
        <x:v>原值為百分比；非直接以流動資產扣存貨。</x:v>
      </x:c>
      <x:c r="L483" s="3" t="str">
        <x:v>/Users/yuntzuyu/Downloads/e-loan/Year/e-Loan YYYY-TransUnion 2025.xls</x:v>
      </x:c>
    </x:row>
    <x:row r="484" ht="25" customHeight="1">
      <x:c r="A484" s="3" t="str">
        <x:v>TRANSUNION</x:v>
      </x:c>
      <x:c r="B484" s="3" t="str">
        <x:v>2025-01-01~2025-12-31</x:v>
      </x:c>
      <x:c r="C484" s="3" t="str">
        <x:v>2025-12-31</x:v>
      </x:c>
      <x:c r="D484" s="3" t="str">
        <x:v>Debt ratio</x:v>
      </x:c>
      <x:c r="E484" s="7" t="n">
        <x:f>'計算底稿'!K49</x:f>
        <x:v>1.4450999999999998</x:v>
      </x:c>
      <x:c r="F484" s="3" t="str">
        <x:v>%</x:v>
      </x:c>
      <x:c r="G484" s="3" t="str">
        <x:v>原始報表數字</x:v>
      </x:c>
      <x:c r="H484" s="3" t="str">
        <x:v>Report1!R203, Report1!R62, Report1!R70</x:v>
      </x:c>
      <x:c r="I484" s="3" t="str">
        <x:v>總負債÷淨值</x:v>
      </x:c>
      <x:c r="J484" s="3" t="str">
        <x:v>計算底稿!K49</x:v>
      </x:c>
      <x:c r="K484" s="3" t="str">
        <x:v>實際為負債淨值比；非負債資產比，亦非有息債務比。</x:v>
      </x:c>
      <x:c r="L484" s="3" t="str">
        <x:v>/Users/yuntzuyu/Downloads/e-loan/Year/e-Loan YYYY-TransUnion 2025.xls</x:v>
      </x:c>
    </x:row>
    <x:row r="485" ht="25" customHeight="1">
      <x:c r="A485" s="3" t="str">
        <x:v>TRANSUNION</x:v>
      </x:c>
      <x:c r="B485" s="3" t="str">
        <x:v>2025-01-01~2025-12-31</x:v>
      </x:c>
      <x:c r="C485" s="3" t="str">
        <x:v>2025-12-31</x:v>
      </x:c>
      <x:c r="D485" s="3" t="str">
        <x:v>Total debt</x:v>
      </x:c>
      <x:c r="E485" s="6" t="n">
        <x:f>'計算底稿'!L49</x:f>
        <x:v>5104</x:v>
      </x:c>
      <x:c r="F485" s="3" t="str">
        <x:v>USD  million</x:v>
      </x:c>
      <x:c r="G485" s="3" t="str">
        <x:v>推算值／列示項目小計</x:v>
      </x:c>
      <x:c r="H485" s="3" t="str">
        <x:v>Report1!R41, Report1!R43, Report1!R55, Report1!R56</x:v>
      </x:c>
      <x:c r="I485" s="3" t="str">
        <x:v>短期借款＋一年內到期長債＋長期銀行借款＋公司債</x:v>
      </x:c>
      <x:c r="J485" s="3" t="str">
        <x:v>計算底稿!L49</x:v>
      </x:c>
      <x:c r="K485" s="3" t="str">
        <x:v>空白項未計入；租賃等未另加，非契約確認總債務。</x:v>
      </x:c>
      <x:c r="L485" s="3" t="str">
        <x:v>/Users/yuntzuyu/Downloads/e-loan/Year/e-Loan YYYY-TransUnion 2025.xls</x:v>
      </x:c>
    </x:row>
    <x:row r="486" ht="25" customHeight="1">
      <x:c r="A486" s="3" t="str">
        <x:v>TRANSUNION</x:v>
      </x:c>
      <x:c r="B486" s="3" t="str">
        <x:v>2025-01-01~2025-12-31</x:v>
      </x:c>
      <x:c r="C486" s="3" t="str">
        <x:v>2025-12-31</x:v>
      </x:c>
      <x:c r="D486" s="3" t="str">
        <x:v>EBITDA（報表口徑）</x:v>
      </x:c>
      <x:c r="E486" s="6" t="n">
        <x:f>'計算底稿'!M49</x:f>
        <x:v>1424</x:v>
      </x:c>
      <x:c r="F486" s="3" t="str">
        <x:v>USD  million</x:v>
      </x:c>
      <x:c r="G486" s="3" t="str">
        <x:v>推算值</x:v>
      </x:c>
      <x:c r="H486" s="3" t="str">
        <x:v>Report1!R111, Report1!R106, Report1!R121, Report1!R201</x:v>
      </x:c>
      <x:c r="I486" s="3" t="str">
        <x:v>稅前損益＋利息費用＋折舊攤銷</x:v>
      </x:c>
      <x:c r="J486" s="3" t="str">
        <x:v>計算底稿!M49</x:v>
      </x:c>
      <x:c r="K486" s="3" t="str">
        <x:v>可重現原表EBITDA/Interest；含業外損益。</x:v>
      </x:c>
      <x:c r="L486" s="3" t="str">
        <x:v>/Users/yuntzuyu/Downloads/e-loan/Year/e-Loan YYYY-TransUnion 2025.xls</x:v>
      </x:c>
    </x:row>
    <x:row r="487" ht="25" customHeight="1">
      <x:c r="A487" s="3" t="str">
        <x:v>TRANSUNION</x:v>
      </x:c>
      <x:c r="B487" s="3" t="str">
        <x:v>2025-01-01~2025-12-31</x:v>
      </x:c>
      <x:c r="C487" s="3" t="str">
        <x:v>2025-12-31</x:v>
      </x:c>
      <x:c r="D487" s="3" t="str">
        <x:v>EBITDA basis</x:v>
      </x:c>
      <x:c r="E487" s="3" t="str">
        <x:v>稅前損益＋利息＋折舊攤銷</x:v>
      </x:c>
      <x:c r="F487" s="3" t="str">
        <x:v>文字</x:v>
      </x:c>
      <x:c r="G487" s="3" t="str">
        <x:v>口徑說明</x:v>
      </x:c>
      <x:c r="H487" s="3" t="str">
        <x:v>Report1!R111, Report1!R106, Report1!R121</x:v>
      </x:c>
      <x:c r="I487" s="3" t="str">
        <x:v>稅前損益＋利息費用＋折舊攤銷</x:v>
      </x:c>
      <x:c r="J487" s="3" t="str">
        <x:v>計算底稿!M49</x:v>
      </x:c>
      <x:c r="K487" s="3" t="str">
        <x:v>本列為文字定義；不代表Adjusted或契約EBITDA。</x:v>
      </x:c>
      <x:c r="L487" s="3" t="str">
        <x:v>/Users/yuntzuyu/Downloads/e-loan/Year/e-Loan YYYY-TransUnion 2025.xls</x:v>
      </x:c>
    </x:row>
    <x:row r="488" ht="25" customHeight="1">
      <x:c r="A488" s="3" t="str">
        <x:v>TRANSUNION</x:v>
      </x:c>
      <x:c r="B488" s="3" t="str">
        <x:v>2025-01-01~2025-12-31</x:v>
      </x:c>
      <x:c r="C488" s="3" t="str">
        <x:v>2025-12-31</x:v>
      </x:c>
      <x:c r="D488" s="3" t="str">
        <x:v>LTM EBITDA</x:v>
      </x:c>
      <x:c r="E488" s="6" t="n">
        <x:f>'計算底稿'!P49</x:f>
        <x:v>1424</x:v>
      </x:c>
      <x:c r="F488" s="3" t="str">
        <x:v>USD  million</x:v>
      </x:c>
      <x:c r="G488" s="3" t="str">
        <x:v>推算值</x:v>
      </x:c>
      <x:c r="H488" s="3" t="str">
        <x:v>Report1!R111, Report1!R106, Report1!R121</x:v>
      </x:c>
      <x:c r="I488" s="3" t="str">
        <x:v>全年：當年EBITDA；期中：前全年＋本YTD−前YTD</x:v>
      </x:c>
      <x:c r="J488" s="3" t="str">
        <x:v>計算底稿!P49</x:v>
      </x:c>
      <x:c r="K488" s="3" t="str">
        <x:v>期中缺前同期則資料不足；不採YTD×2或×4。</x:v>
      </x:c>
      <x:c r="L488" s="3" t="str">
        <x:v>/Users/yuntzuyu/Downloads/e-loan/Year/e-Loan YYYY-TransUnion 2025.xls</x:v>
      </x:c>
    </x:row>
    <x:row r="489" ht="25" customHeight="1">
      <x:c r="A489" s="3" t="str">
        <x:v>TRANSUNION</x:v>
      </x:c>
      <x:c r="B489" s="3" t="str">
        <x:v>2025-01-01~2025-12-31</x:v>
      </x:c>
      <x:c r="C489" s="3" t="str">
        <x:v>2025-12-31</x:v>
      </x:c>
      <x:c r="D489" s="3" t="str">
        <x:v>Total leverage ratio</x:v>
      </x:c>
      <x:c r="E489" s="8" t="n">
        <x:f>'計算底稿'!Q49</x:f>
        <x:v>3.5842696629213484</x:v>
      </x:c>
      <x:c r="F489" s="3" t="str">
        <x:v>倍</x:v>
      </x:c>
      <x:c r="G489" s="3" t="str">
        <x:v>推算值／非契約倍數</x:v>
      </x:c>
      <x:c r="H489" s="3" t="str">
        <x:v>Report1!R41, Report1!R43, Report1!R55, Report1!R56, Report1!R111, Report1!R106, Report1!R121</x:v>
      </x:c>
      <x:c r="I489" s="3" t="str">
        <x:v>期末列示債務合計÷LTM EBITDA</x:v>
      </x:c>
      <x:c r="J489" s="3" t="str">
        <x:v>計算底稿!Q49</x:v>
      </x:c>
      <x:c r="K489" s="3" t="str">
        <x:v>未扣現金；不含未辨識租賃；EBITDA≤0時標示不具意義。</x:v>
      </x:c>
      <x:c r="L489" s="3" t="str">
        <x:v>/Users/yuntzuyu/Downloads/e-loan/Year/e-Loan YYYY-TransUnion 2025.xls</x:v>
      </x:c>
    </x:row>
  </x:sheetData>
  <x:pageMargins left="0.7" right="0.7" top="0.75" bottom="0.75" header="0.3" footer="0.3"/>
  <x:tableParts count="1">
    <x:tablePart xmlns:r="http://schemas.openxmlformats.org/officeDocument/2006/relationships" r:id="R7cf008a1d8924d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31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2">
      <x:c r="A2" s="1" t="str">
        <x:v>計算底稿</x:v>
      </x:c>
    </x:row>
    <x:row r="3">
      <x:c r="A3" t="str">
        <x:v>L列為已列示債務小計（空白項未計入）；P列僅在期間資料足夠時推算；差額檢查不參與指標計算。</x:v>
      </x:c>
    </x:row>
    <x:row r="5" ht="32" customHeight="1">
      <x:c r="A5" s="5" t="str">
        <x:v>編號</x:v>
      </x:c>
      <x:c r="B5" s="5" t="str">
        <x:v>公司</x:v>
      </x:c>
      <x:c r="C5" s="5" t="str">
        <x:v>損益期間</x:v>
      </x:c>
      <x:c r="D5" s="5" t="str">
        <x:v>原始單位</x:v>
      </x:c>
      <x:c r="E5" s="5" t="str">
        <x:v>換算USD百萬</x:v>
      </x:c>
      <x:c r="F5" s="5" t="str">
        <x:v>營收成本</x:v>
      </x:c>
      <x:c r="G5" s="5" t="str">
        <x:v>毛利</x:v>
      </x:c>
      <x:c r="H5" s="5" t="str">
        <x:v>營業費用</x:v>
      </x:c>
      <x:c r="I5" s="5" t="str">
        <x:v>利息費用</x:v>
      </x:c>
      <x:c r="J5" s="5" t="str">
        <x:v>速動比率</x:v>
      </x:c>
      <x:c r="K5" s="5" t="str">
        <x:v>Debt ratio</x:v>
      </x:c>
      <x:c r="L5" s="5" t="str">
        <x:v>列示債務合計</x:v>
      </x:c>
      <x:c r="M5" s="5" t="str">
        <x:v>EBITDA報表口徑</x:v>
      </x:c>
      <x:c r="N5" s="5" t="str">
        <x:v>EBITDA營業口徑</x:v>
      </x:c>
      <x:c r="O5" s="5" t="str">
        <x:v>兩種EBITDA差額</x:v>
      </x:c>
      <x:c r="P5" s="5" t="str">
        <x:v>LTM EBITDA</x:v>
      </x:c>
      <x:c r="Q5" s="5" t="str">
        <x:v>總槓桿倍數</x:v>
      </x:c>
      <x:c r="R5" s="5" t="str">
        <x:v>LTM可用性</x:v>
      </x:c>
      <x:c r="S5" s="5" t="str">
        <x:v>毛利差額</x:v>
      </x:c>
      <x:c r="T5" s="5" t="str">
        <x:v>營費差額</x:v>
      </x:c>
      <x:c r="U5" s="5" t="str">
        <x:v>速動差額</x:v>
      </x:c>
      <x:c r="V5" s="5" t="str">
        <x:v>負債比差額</x:v>
      </x:c>
      <x:c r="W5" s="5" t="str">
        <x:v>利息保障倍數差額</x:v>
      </x:c>
    </x:row>
    <x:row r="6" ht="25" customHeight="1">
      <x:c r="A6" s="3" t="n">
        <x:v>1</x:v>
      </x:c>
      <x:c r="B6" s="3" t="str">
        <x:v>NEXSTAR MEDIA GROUP, INC.</x:v>
      </x:c>
      <x:c r="C6" s="3" t="str">
        <x:v>2024-01-01~2024-12-31</x:v>
      </x:c>
      <x:c r="D6" s="3" t="str">
        <x:v>USD  thousand</x:v>
      </x:c>
      <x:c r="E6" s="12" t="n">
        <x:f>0.001</x:f>
        <x:v>0.001</x:v>
      </x:c>
      <x:c r="F6" s="12" t="n">
        <x:f>'原始數據'!P6</x:f>
        <x:v>2221000</x:v>
      </x:c>
      <x:c r="G6" s="12" t="n">
        <x:f>'原始數據'!Q6</x:f>
        <x:v>3186000</x:v>
      </x:c>
      <x:c r="H6" s="12" t="n">
        <x:f>'原始數據'!R6</x:f>
        <x:v>1918000</x:v>
      </x:c>
      <x:c r="I6" s="12" t="n">
        <x:f>'原始數據'!T6</x:f>
        <x:v>444000</x:v>
      </x:c>
      <x:c r="J6" s="13" t="n">
        <x:f>'原始數據'!W6</x:f>
        <x:v>1.4968000000000001</x:v>
      </x:c>
      <x:c r="K6" s="13" t="n">
        <x:f>'原始數據'!X6</x:f>
        <x:v>4.0564</x:v>
      </x:c>
      <x:c r="L6" s="12" t="n">
        <x:f>SUM('原始數據'!K6,'原始數據'!L6,'原始數據'!M6,'原始數據'!N6)</x:f>
        <x:v>6523000</x:v>
      </x:c>
      <x:c r="M6" s="12" t="n">
        <x:f>'原始數據'!U6+'原始數據'!T6+'原始數據'!V6</x:f>
        <x:v>2211000</x:v>
      </x:c>
      <x:c r="N6" s="12" t="n">
        <x:f>'原始數據'!S6+'原始數據'!V6</x:f>
        <x:v>2076000</x:v>
      </x:c>
      <x:c r="O6" s="12" t="n">
        <x:f>M6-N6</x:f>
        <x:v>135000</x:v>
      </x:c>
      <x:c r="P6" s="12" t="n">
        <x:f>M6</x:f>
        <x:v>2211000</x:v>
      </x:c>
      <x:c r="Q6" s="14" t="n">
        <x:f>IF(ISNUMBER(P6),IF(P6&gt;0,L6/P6,"不具意義"),"資料不足")</x:f>
        <x:v>2.9502487562189055</x:v>
      </x:c>
      <x:c r="R6" s="12" t="str">
        <x:v>全年=最近12月</x:v>
      </x:c>
      <x:c r="S6" s="15" t="n">
        <x:f>'原始數據'!O6-F6-G6</x:f>
        <x:v>0</x:v>
      </x:c>
      <x:c r="T6" s="15" t="n">
        <x:f>G6-'原始數據'!S6-H6</x:f>
        <x:v>0</x:v>
      </x:c>
      <x:c r="U6" s="15" t="n">
        <x:f>SUM('原始數據'!G6,'原始數據'!H6,'原始數據'!I6)/'原始數據'!J6-J6</x:f>
        <x:v>0.000007151979565689359</x:v>
      </x:c>
      <x:c r="V6" s="15" t="n">
        <x:f>'原始數據'!AA6/'原始數據'!AB6-K6</x:f>
        <x:v>0.00003738977072309524</x:v>
      </x:c>
      <x:c r="W6" s="15" t="n">
        <x:f>M6/I6-'原始數據'!Y6</x:f>
        <x:v>-0.0002702702702706006</x:v>
      </x:c>
    </x:row>
    <x:row r="7" ht="25" customHeight="1">
      <x:c r="A7" s="3" t="n">
        <x:v>2</x:v>
      </x:c>
      <x:c r="B7" s="3" t="str">
        <x:v>NEXSTAR MEDIA GROUP, INC.</x:v>
      </x:c>
      <x:c r="C7" s="3" t="str">
        <x:v>2025-01-01~2025-03-31</x:v>
      </x:c>
      <x:c r="D7" s="3" t="str">
        <x:v>USD  thousand</x:v>
      </x:c>
      <x:c r="E7" s="12" t="n">
        <x:f>0.001</x:f>
        <x:v>0.001</x:v>
      </x:c>
      <x:c r="F7" s="12" t="n">
        <x:f>'原始數據'!P7</x:f>
        <x:v>551000</x:v>
      </x:c>
      <x:c r="G7" s="12" t="n">
        <x:f>'原始數據'!Q7</x:f>
        <x:v>683000</x:v>
      </x:c>
      <x:c r="H7" s="12" t="n">
        <x:f>'原始數據'!R7</x:f>
        <x:v>463000</x:v>
      </x:c>
      <x:c r="I7" s="12" t="n">
        <x:f>'原始數據'!T7</x:f>
        <x:v>97000</x:v>
      </x:c>
      <x:c r="J7" s="13" t="n">
        <x:f>'原始數據'!W7</x:f>
        <x:v>1.5937999999999999</x:v>
      </x:c>
      <x:c r="K7" s="13" t="n">
        <x:f>'原始數據'!X7</x:f>
        <x:v>4.072900000000001</x:v>
      </x:c>
      <x:c r="L7" s="12" t="n">
        <x:f>SUM('原始數據'!K7,'原始數據'!L7,'原始數據'!M7,'原始數據'!N7)</x:f>
        <x:v>6495000</x:v>
      </x:c>
      <x:c r="M7" s="12" t="n">
        <x:f>'原始數據'!U7+'原始數據'!T7+'原始數據'!V7</x:f>
        <x:v>440000</x:v>
      </x:c>
      <x:c r="N7" s="12" t="n">
        <x:f>'原始數據'!S7+'原始數據'!V7</x:f>
        <x:v>425000</x:v>
      </x:c>
      <x:c r="O7" s="12" t="n">
        <x:f>M7-N7</x:f>
        <x:v>15000</x:v>
      </x:c>
      <x:c r="P7" s="12" t="str">
        <x:v>資料不足</x:v>
      </x:c>
      <x:c r="Q7" s="14" t="str">
        <x:f>IF(ISNUMBER(P7),IF(P7&gt;0,L7/P7,"不具意義"),"資料不足")</x:f>
        <x:v>資料不足</x:v>
      </x:c>
      <x:c r="R7" s="12" t="str">
        <x:v>缺前年度同期</x:v>
      </x:c>
      <x:c r="S7" s="15" t="n">
        <x:f>'原始數據'!O7-F7-G7</x:f>
        <x:v>0</x:v>
      </x:c>
      <x:c r="T7" s="15" t="n">
        <x:f>G7-'原始數據'!S7-H7</x:f>
        <x:v>0</x:v>
      </x:c>
      <x:c r="U7" s="15" t="n">
        <x:f>SUM('原始數據'!G7,'原始數據'!H7,'原始數據'!I7)/'原始數據'!J7-J7</x:f>
        <x:v>-0.000011180124223519883</x:v>
      </x:c>
      <x:c r="V7" s="15" t="n">
        <x:f>'原始數據'!AA7/'原始數據'!AB7-K7</x:f>
        <x:v>-0.00001111111111207208</x:v>
      </x:c>
      <x:c r="W7" s="15" t="n">
        <x:f>M7/I7-'原始數據'!Y7</x:f>
        <x:v>-0.00391752577319604</x:v>
      </x:c>
    </x:row>
    <x:row r="8" ht="25" customHeight="1">
      <x:c r="A8" s="3" t="n">
        <x:v>3</x:v>
      </x:c>
      <x:c r="B8" s="3" t="str">
        <x:v>NEXSTAR MEDIA GROUP, INC.</x:v>
      </x:c>
      <x:c r="C8" s="3" t="str">
        <x:v>2025-01-01~2025-12-31</x:v>
      </x:c>
      <x:c r="D8" s="3" t="str">
        <x:v>USD  thousand</x:v>
      </x:c>
      <x:c r="E8" s="12" t="n">
        <x:f>0.001</x:f>
        <x:v>0.001</x:v>
      </x:c>
      <x:c r="F8" s="12" t="n">
        <x:f>'原始數據'!P8</x:f>
        <x:v>2235000</x:v>
      </x:c>
      <x:c r="G8" s="12" t="n">
        <x:f>'原始數據'!Q8</x:f>
        <x:v>2714000</x:v>
      </x:c>
      <x:c r="H8" s="12" t="n">
        <x:f>'原始數據'!R8</x:f>
        <x:v>1865000</x:v>
      </x:c>
      <x:c r="I8" s="12" t="n">
        <x:f>'原始數據'!T8</x:f>
        <x:v>379000</x:v>
      </x:c>
      <x:c r="J8" s="13" t="n">
        <x:f>'原始數據'!W8</x:f>
        <x:v>1.9058000000000002</x:v>
      </x:c>
      <x:c r="K8" s="13" t="n">
        <x:f>'原始數據'!X8</x:f>
        <x:v>4.2599</x:v>
      </x:c>
      <x:c r="L8" s="12" t="n">
        <x:f>SUM('原始數據'!K8,'原始數據'!L8,'原始數據'!M8,'原始數據'!N8)</x:f>
        <x:v>6333000</x:v>
      </x:c>
      <x:c r="M8" s="12" t="n">
        <x:f>'原始數據'!U8+'原始數據'!T8+'原始數據'!V8</x:f>
        <x:v>1314000</x:v>
      </x:c>
      <x:c r="N8" s="12" t="n">
        <x:f>'原始數據'!S8+'原始數據'!V8</x:f>
        <x:v>1634000</x:v>
      </x:c>
      <x:c r="O8" s="12" t="n">
        <x:f>M8-N8</x:f>
        <x:v>-320000</x:v>
      </x:c>
      <x:c r="P8" s="12" t="n">
        <x:f>M8</x:f>
        <x:v>1314000</x:v>
      </x:c>
      <x:c r="Q8" s="14" t="n">
        <x:f>IF(ISNUMBER(P8),IF(P8&gt;0,L8/P8,"不具意義"),"資料不足")</x:f>
        <x:v>4.819634703196347</x:v>
      </x:c>
      <x:c r="R8" s="12" t="str">
        <x:v>全年=最近12月</x:v>
      </x:c>
      <x:c r="S8" s="15" t="n">
        <x:f>'原始數據'!O8-F8-G8</x:f>
        <x:v>0</x:v>
      </x:c>
      <x:c r="T8" s="15" t="n">
        <x:f>G8-'原始數據'!S8-H8</x:f>
        <x:v>0</x:v>
      </x:c>
      <x:c r="U8" s="15" t="n">
        <x:f>SUM('原始數據'!G8,'原始數據'!H8,'原始數據'!I8)/'原始數據'!J8-J8</x:f>
        <x:v>-0.000033473980309617346</x:v>
      </x:c>
      <x:c r="V8" s="15" t="n">
        <x:f>'原始數據'!AA8/'原始數據'!AB8-K8</x:f>
        <x:v>0.000041804073714679646</x:v>
      </x:c>
      <x:c r="W8" s="15" t="n">
        <x:f>M8/I8-'原始數據'!Y8</x:f>
        <x:v>-0.0029815303430082984</x:v>
      </x:c>
    </x:row>
    <x:row r="9" ht="25" customHeight="1">
      <x:c r="A9" s="3" t="n">
        <x:v>4</x:v>
      </x:c>
      <x:c r="B9" s="3" t="str">
        <x:v>NEXSTAR MEDIA GROUP, INC.</x:v>
      </x:c>
      <x:c r="C9" s="3" t="str">
        <x:v>2026-01-01~2026-03-31</x:v>
      </x:c>
      <x:c r="D9" s="3" t="str">
        <x:v>USD  thousand</x:v>
      </x:c>
      <x:c r="E9" s="12" t="n">
        <x:f>0.001</x:f>
        <x:v>0.001</x:v>
      </x:c>
      <x:c r="F9" s="12" t="n">
        <x:f>'原始數據'!P9</x:f>
        <x:v>611000</x:v>
      </x:c>
      <x:c r="G9" s="12" t="n">
        <x:f>'原始數據'!Q9</x:f>
        <x:v>785000</x:v>
      </x:c>
      <x:c r="H9" s="12" t="n">
        <x:f>'原始數據'!R9</x:f>
        <x:v>520000</x:v>
      </x:c>
      <x:c r="I9" s="12" t="n">
        <x:f>'原始數據'!T9</x:f>
        <x:v>120000</x:v>
      </x:c>
      <x:c r="J9" s="13" t="n">
        <x:f>'原始數據'!W9</x:f>
        <x:v>1.5674000000000001</x:v>
      </x:c>
      <x:c r="K9" s="13" t="n">
        <x:f>'原始數據'!X9</x:f>
        <x:v>7.3501</x:v>
      </x:c>
      <x:c r="L9" s="12" t="n">
        <x:f>SUM('原始數據'!K9,'原始數據'!L9,'原始數據'!M9,'原始數據'!N9)</x:f>
        <x:v>12152000</x:v>
      </x:c>
      <x:c r="M9" s="12" t="n">
        <x:f>'原始數據'!U9+'原始數據'!T9+'原始數據'!V9</x:f>
        <x:v>466000</x:v>
      </x:c>
      <x:c r="N9" s="12" t="n">
        <x:f>'原始數據'!S9+'原始數據'!V9</x:f>
        <x:v>458000</x:v>
      </x:c>
      <x:c r="O9" s="12" t="n">
        <x:f>M9-N9</x:f>
        <x:v>8000</x:v>
      </x:c>
      <x:c r="P9" s="12" t="n">
        <x:f>M8+M9-M7</x:f>
        <x:v>1340000</x:v>
      </x:c>
      <x:c r="Q9" s="14" t="n">
        <x:f>IF(ISNUMBER(P9),IF(P9&gt;0,L9/P9,"不具意義"),"資料不足")</x:f>
        <x:v>9.06865671641791</x:v>
      </x:c>
      <x:c r="R9" s="12" t="str">
        <x:v>前全年+本YTD−前YTD</x:v>
      </x:c>
      <x:c r="S9" s="15" t="n">
        <x:f>'原始數據'!O9-F9-G9</x:f>
        <x:v>0</x:v>
      </x:c>
      <x:c r="T9" s="15" t="n">
        <x:f>G9-'原始數據'!S9-H9</x:f>
        <x:v>0</x:v>
      </x:c>
      <x:c r="U9" s="15" t="n">
        <x:f>SUM('原始數據'!G9,'原始數據'!H9,'原始數據'!I9)/'原始數據'!J9-J9</x:f>
        <x:v>-0.00004049268668215866</x:v>
      </x:c>
      <x:c r="V9" s="15" t="n">
        <x:f>'原始數據'!AA9/'原始數據'!AB9-K9</x:f>
        <x:v>-0.0000077490774907929</x:v>
      </x:c>
      <x:c r="W9" s="15" t="n">
        <x:f>M9/I9-'原始數據'!Y9</x:f>
        <x:v>0.0033333333333334103</x:v>
      </x:c>
    </x:row>
    <x:row r="10" ht="25" customHeight="1">
      <x:c r="A10" s="3" t="n">
        <x:v>5</x:v>
      </x:c>
      <x:c r="B10" s="3" t="str">
        <x:v>NEXSTAR MEDIA GROUP, INC.</x:v>
      </x:c>
      <x:c r="C10" s="3" t="str">
        <x:v>2024-01-01~2024-12-31</x:v>
      </x:c>
      <x:c r="D10" s="3" t="str">
        <x:v>USD  thousand</x:v>
      </x:c>
      <x:c r="E10" s="12" t="n">
        <x:f>0.001</x:f>
        <x:v>0.001</x:v>
      </x:c>
      <x:c r="F10" s="12" t="n">
        <x:f>'原始數據'!P10</x:f>
        <x:v>2221000</x:v>
      </x:c>
      <x:c r="G10" s="12" t="n">
        <x:f>'原始數據'!Q10</x:f>
        <x:v>3186000</x:v>
      </x:c>
      <x:c r="H10" s="12" t="n">
        <x:f>'原始數據'!R10</x:f>
        <x:v>1918000</x:v>
      </x:c>
      <x:c r="I10" s="12" t="n">
        <x:f>'原始數據'!T10</x:f>
        <x:v>444000</x:v>
      </x:c>
      <x:c r="J10" s="13" t="n">
        <x:f>'原始數據'!W10</x:f>
        <x:v>1.4968000000000001</x:v>
      </x:c>
      <x:c r="K10" s="13" t="n">
        <x:f>'原始數據'!X10</x:f>
        <x:v>4.0564</x:v>
      </x:c>
      <x:c r="L10" s="12" t="n">
        <x:f>SUM('原始數據'!K10,'原始數據'!L10,'原始數據'!M10,'原始數據'!N10)</x:f>
        <x:v>6523000</x:v>
      </x:c>
      <x:c r="M10" s="12" t="n">
        <x:f>'原始數據'!U10+'原始數據'!T10+'原始數據'!V10</x:f>
        <x:v>2211000</x:v>
      </x:c>
      <x:c r="N10" s="12" t="n">
        <x:f>'原始數據'!S10+'原始數據'!V10</x:f>
        <x:v>2076000</x:v>
      </x:c>
      <x:c r="O10" s="12" t="n">
        <x:f>M10-N10</x:f>
        <x:v>135000</x:v>
      </x:c>
      <x:c r="P10" s="12" t="n">
        <x:f>M10</x:f>
        <x:v>2211000</x:v>
      </x:c>
      <x:c r="Q10" s="14" t="n">
        <x:f>IF(ISNUMBER(P10),IF(P10&gt;0,L10/P10,"不具意義"),"資料不足")</x:f>
        <x:v>2.9502487562189055</x:v>
      </x:c>
      <x:c r="R10" s="12" t="str">
        <x:v>全年=最近12月</x:v>
      </x:c>
      <x:c r="S10" s="15" t="n">
        <x:f>'原始數據'!O10-F10-G10</x:f>
        <x:v>0</x:v>
      </x:c>
      <x:c r="T10" s="15" t="n">
        <x:f>G10-'原始數據'!S10-H10</x:f>
        <x:v>0</x:v>
      </x:c>
      <x:c r="U10" s="15" t="n">
        <x:f>SUM('原始數據'!G10,'原始數據'!H10,'原始數據'!I10)/'原始數據'!J10-J10</x:f>
        <x:v>0.000007151979565689359</x:v>
      </x:c>
      <x:c r="V10" s="15" t="n">
        <x:f>'原始數據'!AA10/'原始數據'!AB10-K10</x:f>
        <x:v>0.00003738977072309524</x:v>
      </x:c>
      <x:c r="W10" s="15" t="n">
        <x:f>M10/I10-'原始數據'!Y10</x:f>
        <x:v>-0.0002702702702706006</x:v>
      </x:c>
    </x:row>
    <x:row r="11" ht="25" customHeight="1">
      <x:c r="A11" s="3" t="n">
        <x:v>6</x:v>
      </x:c>
      <x:c r="B11" s="3" t="str">
        <x:v>NEXSTAR MEDIA GROUP, INC.</x:v>
      </x:c>
      <x:c r="C11" s="3" t="str">
        <x:v>2025-01-01~2025-06-30</x:v>
      </x:c>
      <x:c r="D11" s="3" t="str">
        <x:v>USD  thousand</x:v>
      </x:c>
      <x:c r="E11" s="12" t="n">
        <x:f>0.001</x:f>
        <x:v>0.001</x:v>
      </x:c>
      <x:c r="F11" s="12" t="n">
        <x:f>'原始數據'!P11</x:f>
        <x:v>1108000</x:v>
      </x:c>
      <x:c r="G11" s="12" t="n">
        <x:f>'原始數據'!Q11</x:f>
        <x:v>1354000</x:v>
      </x:c>
      <x:c r="H11" s="12" t="n">
        <x:f>'原始數據'!R11</x:f>
        <x:v>922000</x:v>
      </x:c>
      <x:c r="I11" s="12" t="n">
        <x:f>'原始數據'!T11</x:f>
        <x:v>194000</x:v>
      </x:c>
      <x:c r="J11" s="13" t="n">
        <x:f>'原始數據'!W11</x:f>
        <x:v>1.5261000000000002</x:v>
      </x:c>
      <x:c r="K11" s="13" t="n">
        <x:f>'原始數據'!X11</x:f>
        <x:v>4.0213</x:v>
      </x:c>
      <x:c r="L11" s="12" t="n">
        <x:f>SUM('原始數據'!K11,'原始數據'!L11,'原始數據'!M11,'原始數據'!N11)</x:f>
        <x:v>6383000</x:v>
      </x:c>
      <x:c r="M11" s="12" t="n">
        <x:f>'原始數據'!U11+'原始數據'!T11+'原始數據'!V11</x:f>
        <x:v>864000</x:v>
      </x:c>
      <x:c r="N11" s="12" t="n">
        <x:f>'原始數據'!S11+'原始數據'!V11</x:f>
        <x:v>834000</x:v>
      </x:c>
      <x:c r="O11" s="12" t="n">
        <x:f>M11-N11</x:f>
        <x:v>30000</x:v>
      </x:c>
      <x:c r="P11" s="12" t="str">
        <x:v>資料不足</x:v>
      </x:c>
      <x:c r="Q11" s="14" t="str">
        <x:f>IF(ISNUMBER(P11),IF(P11&gt;0,L11/P11,"不具意義"),"資料不足")</x:f>
        <x:v>資料不足</x:v>
      </x:c>
      <x:c r="R11" s="12" t="str">
        <x:v>缺前年度同期</x:v>
      </x:c>
      <x:c r="S11" s="15" t="n">
        <x:f>'原始數據'!O11-F11-G11</x:f>
        <x:v>0</x:v>
      </x:c>
      <x:c r="T11" s="15" t="n">
        <x:f>G11-'原始數據'!S11-H11</x:f>
        <x:v>0</x:v>
      </x:c>
      <x:c r="U11" s="15" t="n">
        <x:f>SUM('原始數據'!G11,'原始數據'!H11,'原始數據'!I11)/'原始數據'!J11-J11</x:f>
        <x:v>0.00002393681652468338</x:v>
      </x:c>
      <x:c r="V11" s="15" t="n">
        <x:f>'原始數據'!AA11/'原始數據'!AB11-K11</x:f>
        <x:v>-0.00002340425531954793</x:v>
      </x:c>
      <x:c r="W11" s="15" t="n">
        <x:f>M11/I11-'原始數據'!Y11</x:f>
        <x:v>0.0036082474226803996</x:v>
      </x:c>
    </x:row>
    <x:row r="12" ht="25" customHeight="1">
      <x:c r="A12" s="3" t="n">
        <x:v>7</x:v>
      </x:c>
      <x:c r="B12" s="3" t="str">
        <x:v>NEXSTAR MEDIA GROUP, INC.</x:v>
      </x:c>
      <x:c r="C12" s="3" t="str">
        <x:v>2025-01-01~2025-12-31</x:v>
      </x:c>
      <x:c r="D12" s="3" t="str">
        <x:v>USD  thousand</x:v>
      </x:c>
      <x:c r="E12" s="12" t="n">
        <x:f>0.001</x:f>
        <x:v>0.001</x:v>
      </x:c>
      <x:c r="F12" s="12" t="n">
        <x:f>'原始數據'!P12</x:f>
        <x:v>2235000</x:v>
      </x:c>
      <x:c r="G12" s="12" t="n">
        <x:f>'原始數據'!Q12</x:f>
        <x:v>2714000</x:v>
      </x:c>
      <x:c r="H12" s="12" t="n">
        <x:f>'原始數據'!R12</x:f>
        <x:v>1865000</x:v>
      </x:c>
      <x:c r="I12" s="12" t="n">
        <x:f>'原始數據'!T12</x:f>
        <x:v>379000</x:v>
      </x:c>
      <x:c r="J12" s="13" t="n">
        <x:f>'原始數據'!W12</x:f>
        <x:v>1.9058000000000002</x:v>
      </x:c>
      <x:c r="K12" s="13" t="n">
        <x:f>'原始數據'!X12</x:f>
        <x:v>4.2599</x:v>
      </x:c>
      <x:c r="L12" s="12" t="n">
        <x:f>SUM('原始數據'!K12,'原始數據'!L12,'原始數據'!M12,'原始數據'!N12)</x:f>
        <x:v>6333000</x:v>
      </x:c>
      <x:c r="M12" s="12" t="n">
        <x:f>'原始數據'!U12+'原始數據'!T12+'原始數據'!V12</x:f>
        <x:v>1314000</x:v>
      </x:c>
      <x:c r="N12" s="12" t="n">
        <x:f>'原始數據'!S12+'原始數據'!V12</x:f>
        <x:v>1634000</x:v>
      </x:c>
      <x:c r="O12" s="12" t="n">
        <x:f>M12-N12</x:f>
        <x:v>-320000</x:v>
      </x:c>
      <x:c r="P12" s="12" t="n">
        <x:f>M12</x:f>
        <x:v>1314000</x:v>
      </x:c>
      <x:c r="Q12" s="14" t="n">
        <x:f>IF(ISNUMBER(P12),IF(P12&gt;0,L12/P12,"不具意義"),"資料不足")</x:f>
        <x:v>4.819634703196347</x:v>
      </x:c>
      <x:c r="R12" s="12" t="str">
        <x:v>全年=最近12月</x:v>
      </x:c>
      <x:c r="S12" s="15" t="n">
        <x:f>'原始數據'!O12-F12-G12</x:f>
        <x:v>0</x:v>
      </x:c>
      <x:c r="T12" s="15" t="n">
        <x:f>G12-'原始數據'!S12-H12</x:f>
        <x:v>0</x:v>
      </x:c>
      <x:c r="U12" s="15" t="n">
        <x:f>SUM('原始數據'!G12,'原始數據'!H12,'原始數據'!I12)/'原始數據'!J12-J12</x:f>
        <x:v>-0.000033473980309617346</x:v>
      </x:c>
      <x:c r="V12" s="15" t="n">
        <x:f>'原始數據'!AA12/'原始數據'!AB12-K12</x:f>
        <x:v>0.000041804073714679646</x:v>
      </x:c>
      <x:c r="W12" s="15" t="n">
        <x:f>M12/I12-'原始數據'!Y12</x:f>
        <x:v>-0.0029815303430082984</x:v>
      </x:c>
    </x:row>
    <x:row r="13" ht="25" customHeight="1">
      <x:c r="A13" s="3" t="n">
        <x:v>8</x:v>
      </x:c>
      <x:c r="B13" s="3" t="str">
        <x:v>NEXSTAR MEDIA GROUP, INC.</x:v>
      </x:c>
      <x:c r="C13" s="3" t="str">
        <x:v>2026-01-01~2026-06-30</x:v>
      </x:c>
      <x:c r="D13" s="3" t="str">
        <x:v>USD  thousand</x:v>
      </x:c>
      <x:c r="E13" s="12" t="n">
        <x:f>0.001</x:f>
        <x:v>0.001</x:v>
      </x:c>
      <x:c r="F13" s="12" t="n">
        <x:f>'原始數據'!P13</x:f>
        <x:v>1541000</x:v>
      </x:c>
      <x:c r="G13" s="12" t="n">
        <x:f>'原始數據'!Q13</x:f>
        <x:v>1848000</x:v>
      </x:c>
      <x:c r="H13" s="12" t="n">
        <x:f>'原始數據'!R13</x:f>
        <x:v>1221000</x:v>
      </x:c>
      <x:c r="I13" s="12" t="n">
        <x:f>'原始數據'!T13</x:f>
        <x:v>309000</x:v>
      </x:c>
      <x:c r="J13" s="13" t="n">
        <x:f>'原始數據'!W13</x:f>
        <x:v>1.4034</x:v>
      </x:c>
      <x:c r="K13" s="13" t="n">
        <x:f>'原始數據'!X13</x:f>
        <x:v>6.8246</x:v>
      </x:c>
      <x:c r="L13" s="12" t="n">
        <x:f>SUM('原始數據'!K13,'原始數據'!L13,'原始數據'!M13,'原始數據'!N13)</x:f>
        <x:v>11744000</x:v>
      </x:c>
      <x:c r="M13" s="12" t="n">
        <x:f>'原始數據'!U13+'原始數據'!T13+'原始數據'!V13</x:f>
        <x:v>1077000</x:v>
      </x:c>
      <x:c r="N13" s="12" t="n">
        <x:f>'原始數據'!S13+'原始數據'!V13</x:f>
        <x:v>1065000</x:v>
      </x:c>
      <x:c r="O13" s="12" t="n">
        <x:f>M13-N13</x:f>
        <x:v>12000</x:v>
      </x:c>
      <x:c r="P13" s="12" t="n">
        <x:f>M12+M13-M11</x:f>
        <x:v>1527000</x:v>
      </x:c>
      <x:c r="Q13" s="14" t="n">
        <x:f>IF(ISNUMBER(P13),IF(P13&gt;0,L13/P13,"不具意義"),"資料不足")</x:f>
        <x:v>7.690897184020956</x:v>
      </x:c>
      <x:c r="R13" s="12" t="str">
        <x:v>前全年+本YTD−前YTD</x:v>
      </x:c>
      <x:c r="S13" s="15" t="n">
        <x:f>'原始數據'!O13-F13-G13</x:f>
        <x:v>0</x:v>
      </x:c>
      <x:c r="T13" s="15" t="n">
        <x:f>G13-'原始數據'!S13-H13</x:f>
        <x:v>0</x:v>
      </x:c>
      <x:c r="U13" s="15" t="n">
        <x:f>SUM('原始數據'!G13,'原始數據'!H13,'原始數據'!I13)/'原始數據'!J13-J13</x:f>
        <x:v>0.000026791277258686463</x:v>
      </x:c>
      <x:c r="V13" s="15" t="n">
        <x:f>'原始數據'!AA13/'原始數據'!AB13-K13</x:f>
        <x:v>0.00004664310954005657</x:v>
      </x:c>
      <x:c r="W13" s="15" t="n">
        <x:f>M13/I13-'原始數據'!Y13</x:f>
        <x:v>-0.004563106796116934</x:v>
      </x:c>
    </x:row>
    <x:row r="14" ht="25" customHeight="1">
      <x:c r="A14" s="3" t="n">
        <x:v>9</x:v>
      </x:c>
      <x:c r="B14" s="3" t="str">
        <x:v>CROCS, INC.</x:v>
      </x:c>
      <x:c r="C14" s="3" t="str">
        <x:v>2024-01-01~2024-12-31</x:v>
      </x:c>
      <x:c r="D14" s="3" t="str">
        <x:v>USD  thousand</x:v>
      </x:c>
      <x:c r="E14" s="12" t="n">
        <x:f>0.001</x:f>
        <x:v>0.001</x:v>
      </x:c>
      <x:c r="F14" s="12" t="n">
        <x:f>'原始數據'!P14</x:f>
        <x:v>1691850</x:v>
      </x:c>
      <x:c r="G14" s="12" t="n">
        <x:f>'原始數據'!Q14</x:f>
        <x:v>2410258</x:v>
      </x:c>
      <x:c r="H14" s="12" t="n">
        <x:f>'原始數據'!R14</x:f>
        <x:v>1388347</x:v>
      </x:c>
      <x:c r="I14" s="12" t="n">
        <x:f>'原始數據'!T14</x:f>
        <x:v>109264</x:v>
      </x:c>
      <x:c r="J14" s="13" t="n">
        <x:f>'原始數據'!W14</x:f>
        <x:v>0.5919</x:v>
      </x:c>
      <x:c r="K14" s="13" t="n">
        <x:f>'原始數據'!X14</x:f>
        <x:v>1.6214</x:v>
      </x:c>
      <x:c r="L14" s="12" t="n">
        <x:f>SUM('原始數據'!K14,'原始數據'!L14,'原始數據'!M14,'原始數據'!N14)</x:f>
        <x:v>1349339</x:v>
      </x:c>
      <x:c r="M14" s="12" t="n">
        <x:f>'原始數據'!U14+'原始數據'!T14+'原始數據'!V14</x:f>
        <x:v>1089689</x:v>
      </x:c>
      <x:c r="N14" s="12" t="n">
        <x:f>'原始數據'!S14+'原始數據'!V14</x:f>
        <x:v>1091751</x:v>
      </x:c>
      <x:c r="O14" s="12" t="n">
        <x:f>M14-N14</x:f>
        <x:v>-2062</x:v>
      </x:c>
      <x:c r="P14" s="12" t="n">
        <x:f>M14</x:f>
        <x:v>1089689</x:v>
      </x:c>
      <x:c r="Q14" s="14" t="n">
        <x:f>IF(ISNUMBER(P14),IF(P14&gt;0,L14/P14,"不具意義"),"資料不足")</x:f>
        <x:v>1.2382789951995479</x:v>
      </x:c>
      <x:c r="R14" s="12" t="str">
        <x:v>全年=最近12月</x:v>
      </x:c>
      <x:c r="S14" s="15" t="n">
        <x:f>'原始數據'!O14-F14-G14</x:f>
        <x:v>0</x:v>
      </x:c>
      <x:c r="T14" s="15" t="n">
        <x:f>G14-'原始數據'!S14-H14</x:f>
        <x:v>0</x:v>
      </x:c>
      <x:c r="U14" s="15" t="n">
        <x:f>SUM('原始數據'!G14,'原始數據'!H14,'原始數據'!I14)/'原始數據'!J14-J14</x:f>
        <x:v>0.00001740699911378929</x:v>
      </x:c>
      <x:c r="V14" s="15" t="n">
        <x:f>'原始數據'!AA14/'原始數據'!AB14-K14</x:f>
        <x:v>-0.000018992314782195763</x:v>
      </x:c>
      <x:c r="W14" s="15" t="n">
        <x:f>M14/I14-'原始數據'!Y14</x:f>
        <x:v>0.00299201932933002</x:v>
      </x:c>
    </x:row>
    <x:row r="15" ht="25" customHeight="1">
      <x:c r="A15" s="3" t="n">
        <x:v>10</x:v>
      </x:c>
      <x:c r="B15" s="3" t="str">
        <x:v>CROCS, INC.</x:v>
      </x:c>
      <x:c r="C15" s="3" t="str">
        <x:v>2025-01-01~2025-06-30</x:v>
      </x:c>
      <x:c r="D15" s="3" t="str">
        <x:v>USD  thousand</x:v>
      </x:c>
      <x:c r="E15" s="12" t="n">
        <x:f>0.001</x:f>
        <x:v>0.001</x:v>
      </x:c>
      <x:c r="F15" s="12" t="n">
        <x:f>'原始數據'!P15</x:f>
        <x:v>836321</x:v>
      </x:c>
      <x:c r="G15" s="12" t="n">
        <x:f>'原始數據'!Q15</x:f>
        <x:v>1250385</x:v>
      </x:c>
      <x:c r="H15" s="12" t="n">
        <x:f>'原始數據'!R15</x:f>
        <x:v>1454927</x:v>
      </x:c>
      <x:c r="I15" s="12" t="n">
        <x:f>'原始數據'!T15</x:f>
        <x:v>45289</x:v>
      </x:c>
      <x:c r="J15" s="13" t="n">
        <x:f>'原始數據'!W15</x:f>
        <x:v>0.8645999999999999</x:v>
      </x:c>
      <x:c r="K15" s="13" t="n">
        <x:f>'原始數據'!X15</x:f>
        <x:v>2.1317</x:v>
      </x:c>
      <x:c r="L15" s="12" t="n">
        <x:f>SUM('原始數據'!K15,'原始數據'!L15,'原始數據'!M15,'原始數據'!N15)</x:f>
        <x:v>1379112</x:v>
      </x:c>
      <x:c r="M15" s="12" t="n">
        <x:f>'原始數據'!U15+'原始數據'!T15+'原始數據'!V15</x:f>
        <x:v>-180146</x:v>
      </x:c>
      <x:c r="N15" s="12" t="n">
        <x:f>'原始數據'!S15+'原始數據'!V15</x:f>
        <x:v>-186005</x:v>
      </x:c>
      <x:c r="O15" s="12" t="n">
        <x:f>M15-N15</x:f>
        <x:v>5859</x:v>
      </x:c>
      <x:c r="P15" s="12" t="str">
        <x:v>資料不足</x:v>
      </x:c>
      <x:c r="Q15" s="14" t="str">
        <x:f>IF(ISNUMBER(P15),IF(P15&gt;0,L15/P15,"不具意義"),"資料不足")</x:f>
        <x:v>資料不足</x:v>
      </x:c>
      <x:c r="R15" s="12" t="str">
        <x:v>缺前年度同期</x:v>
      </x:c>
      <x:c r="S15" s="15" t="n">
        <x:f>'原始數據'!O15-F15-G15</x:f>
        <x:v>0</x:v>
      </x:c>
      <x:c r="T15" s="15" t="n">
        <x:f>G15-'原始數據'!S15-H15</x:f>
        <x:v>0</x:v>
      </x:c>
      <x:c r="U15" s="15" t="n">
        <x:f>SUM('原始數據'!G15,'原始數據'!H15,'原始數據'!I15)/'原始數據'!J15-J15</x:f>
        <x:v>-0.000029999902077193497</x:v>
      </x:c>
      <x:c r="V15" s="15" t="n">
        <x:f>'原始數據'!AA15/'原始數據'!AB15-K15</x:f>
        <x:v>-0.000006152045861629318</x:v>
      </x:c>
      <x:c r="W15" s="15" t="n">
        <x:f>M15/I15-'原始數據'!Y15</x:f>
        <x:v>0.0023012210470532146</x:v>
      </x:c>
    </x:row>
    <x:row r="16" ht="25" customHeight="1">
      <x:c r="A16" s="3" t="n">
        <x:v>11</x:v>
      </x:c>
      <x:c r="B16" s="3" t="str">
        <x:v>CROCS, INC.</x:v>
      </x:c>
      <x:c r="C16" s="3" t="str">
        <x:v>2025-01-01~2025-12-31</x:v>
      </x:c>
      <x:c r="D16" s="3" t="str">
        <x:v>USD  thousand</x:v>
      </x:c>
      <x:c r="E16" s="12" t="n">
        <x:f>0.001</x:f>
        <x:v>0.001</x:v>
      </x:c>
      <x:c r="F16" s="12" t="n">
        <x:f>'原始數據'!P16</x:f>
        <x:v>1683592</x:v>
      </x:c>
      <x:c r="G16" s="12" t="n">
        <x:f>'原始數據'!Q16</x:f>
        <x:v>2357055</x:v>
      </x:c>
      <x:c r="H16" s="12" t="n">
        <x:f>'原始數據'!R16</x:f>
        <x:v>2207540</x:v>
      </x:c>
      <x:c r="I16" s="12" t="n">
        <x:f>'原始數據'!T16</x:f>
        <x:v>88287</x:v>
      </x:c>
      <x:c r="J16" s="13" t="n">
        <x:f>'原始數據'!W16</x:f>
        <x:v>0.5835</x:v>
      </x:c>
      <x:c r="K16" s="13" t="n">
        <x:f>'原始數據'!X16</x:f>
        <x:v>2.228</x:v>
      </x:c>
      <x:c r="L16" s="12" t="n">
        <x:f>SUM('原始數據'!K16,'原始數據'!L16,'原始數據'!M16,'原始數據'!N16)</x:f>
        <x:v>1230885</x:v>
      </x:c>
      <x:c r="M16" s="12" t="n">
        <x:f>'原始數據'!U16+'原始數據'!T16+'原始數據'!V16</x:f>
        <x:v>240547</x:v>
      </x:c>
      <x:c r="N16" s="12" t="n">
        <x:f>'原始數據'!S16+'原始數據'!V16</x:f>
        <x:v>228797</x:v>
      </x:c>
      <x:c r="O16" s="12" t="n">
        <x:f>M16-N16</x:f>
        <x:v>11750</x:v>
      </x:c>
      <x:c r="P16" s="12" t="n">
        <x:f>M16</x:f>
        <x:v>240547</x:v>
      </x:c>
      <x:c r="Q16" s="14" t="n">
        <x:f>IF(ISNUMBER(P16),IF(P16&gt;0,L16/P16,"不具意義"),"資料不足")</x:f>
        <x:v>5.117024947307595</x:v>
      </x:c>
      <x:c r="R16" s="12" t="str">
        <x:v>全年=最近12月</x:v>
      </x:c>
      <x:c r="S16" s="15" t="n">
        <x:f>'原始數據'!O16-F16-G16</x:f>
        <x:v>0</x:v>
      </x:c>
      <x:c r="T16" s="15" t="n">
        <x:f>G16-'原始數據'!S16-H16</x:f>
        <x:v>0</x:v>
      </x:c>
      <x:c r="U16" s="15" t="n">
        <x:f>SUM('原始數據'!G16,'原始數據'!H16,'原始數據'!I16)/'原始數據'!J16-J16</x:f>
        <x:v>0.000028178378555954176</x:v>
      </x:c>
      <x:c r="V16" s="15" t="n">
        <x:f>'原始數據'!AA16/'原始數據'!AB16-K16</x:f>
        <x:v>0.00002511128654747452</x:v>
      </x:c>
      <x:c r="W16" s="15" t="n">
        <x:f>M16/I16-'原始數據'!Y16</x:f>
        <x:v>0.004602716141674179</x:v>
      </x:c>
    </x:row>
    <x:row r="17" ht="25" customHeight="1">
      <x:c r="A17" s="3" t="n">
        <x:v>12</x:v>
      </x:c>
      <x:c r="B17" s="3" t="str">
        <x:v>CROCS, INC.</x:v>
      </x:c>
      <x:c r="C17" s="3" t="str">
        <x:v>2026-01-01~2026-06-30</x:v>
      </x:c>
      <x:c r="D17" s="3" t="str">
        <x:v>USD  thousand</x:v>
      </x:c>
      <x:c r="E17" s="12" t="n">
        <x:f>0.001</x:f>
        <x:v>0.001</x:v>
      </x:c>
      <x:c r="F17" s="12" t="n">
        <x:f>'原始數據'!P17</x:f>
        <x:v>877273</x:v>
      </x:c>
      <x:c r="G17" s="12" t="n">
        <x:f>'原始數據'!Q17</x:f>
        <x:v>1223652</x:v>
      </x:c>
      <x:c r="H17" s="12" t="n">
        <x:f>'原始數據'!R17</x:f>
        <x:v>737130</x:v>
      </x:c>
      <x:c r="I17" s="12" t="n">
        <x:f>'原始數據'!T17</x:f>
        <x:v>40368</x:v>
      </x:c>
      <x:c r="J17" s="13" t="n">
        <x:f>'原始數據'!W17</x:f>
        <x:v>0.8249</x:v>
      </x:c>
      <x:c r="K17" s="13" t="n">
        <x:f>'原始數據'!X17</x:f>
        <x:v>2.1461</x:v>
      </x:c>
      <x:c r="L17" s="12" t="n">
        <x:f>SUM('原始數據'!K17,'原始數據'!L17,'原始數據'!M17,'原始數據'!N17)</x:f>
        <x:v>1307658</x:v>
      </x:c>
      <x:c r="M17" s="12" t="n">
        <x:f>'原始數據'!U17+'原始數據'!T17+'原始數據'!V17</x:f>
        <x:v>523421</x:v>
      </x:c>
      <x:c r="N17" s="12" t="n">
        <x:f>'原始數據'!S17+'原始數據'!V17</x:f>
        <x:v>526808</x:v>
      </x:c>
      <x:c r="O17" s="12" t="n">
        <x:f>M17-N17</x:f>
        <x:v>-3387</x:v>
      </x:c>
      <x:c r="P17" s="12" t="n">
        <x:f>M16+M17-M15</x:f>
        <x:v>944114</x:v>
      </x:c>
      <x:c r="Q17" s="14" t="n">
        <x:f>IF(ISNUMBER(P17),IF(P17&gt;0,L17/P17,"不具意義"),"資料不足")</x:f>
        <x:v>1.385063668158718</x:v>
      </x:c>
      <x:c r="R17" s="12" t="str">
        <x:v>前全年+本YTD−前YTD</x:v>
      </x:c>
      <x:c r="S17" s="15" t="n">
        <x:f>'原始數據'!O17-F17-G17</x:f>
        <x:v>0</x:v>
      </x:c>
      <x:c r="T17" s="15" t="n">
        <x:f>G17-'原始數據'!S17-H17</x:f>
        <x:v>0</x:v>
      </x:c>
      <x:c r="U17" s="15" t="n">
        <x:f>SUM('原始數據'!G17,'原始數據'!H17,'原始數據'!I17)/'原始數據'!J17-J17</x:f>
        <x:v>0.00003005086335849949</x:v>
      </x:c>
      <x:c r="V17" s="15" t="n">
        <x:f>'原始數據'!AA17/'原始數據'!AB17-K17</x:f>
        <x:v>-0.000031683558729511674</x:v>
      </x:c>
      <x:c r="W17" s="15" t="n">
        <x:f>M17/I17-'原始數據'!Y17</x:f>
        <x:v>-0.003764367816092573</x:v>
      </x:c>
    </x:row>
    <x:row r="18" ht="25" customHeight="1">
      <x:c r="A18" s="3" t="n">
        <x:v>13</x:v>
      </x:c>
      <x:c r="B18" s="3" t="str">
        <x:v>INSULET CORPORATION</x:v>
      </x:c>
      <x:c r="C18" s="3" t="str">
        <x:v>2024-01-01~2024-12-31</x:v>
      </x:c>
      <x:c r="D18" s="3" t="str">
        <x:v>USD  million</x:v>
      </x:c>
      <x:c r="E18" s="12" t="n">
        <x:f>1</x:f>
        <x:v>1</x:v>
      </x:c>
      <x:c r="F18" s="12" t="n">
        <x:f>'原始數據'!P18</x:f>
        <x:v>626</x:v>
      </x:c>
      <x:c r="G18" s="12" t="n">
        <x:f>'原始數據'!Q18</x:f>
        <x:v>1446</x:v>
      </x:c>
      <x:c r="H18" s="12" t="n">
        <x:f>'原始數據'!R18</x:f>
        <x:v>1137</x:v>
      </x:c>
      <x:c r="I18" s="12" t="n">
        <x:f>'原始數據'!T18</x:f>
        <x:v>43</x:v>
      </x:c>
      <x:c r="J18" s="13" t="n">
        <x:f>'原始數據'!W18</x:f>
        <x:v>2.4934</x:v>
      </x:c>
      <x:c r="K18" s="13" t="n">
        <x:f>'原始數據'!X18</x:f>
        <x:v>1.5478999999999998</x:v>
      </x:c>
      <x:c r="L18" s="12" t="n">
        <x:f>SUM('原始數據'!K18,'原始數據'!L18,'原始數據'!M18,'原始數據'!N18)</x:f>
        <x:v>1354</x:v>
      </x:c>
      <x:c r="M18" s="12" t="n">
        <x:f>'原始數據'!U18+'原始數據'!T18+'原始數據'!V18</x:f>
        <x:v>424</x:v>
      </x:c>
      <x:c r="N18" s="12" t="n">
        <x:f>'原始數據'!S18+'原始數據'!V18</x:f>
        <x:v>390</x:v>
      </x:c>
      <x:c r="O18" s="12" t="n">
        <x:f>M18-N18</x:f>
        <x:v>34</x:v>
      </x:c>
      <x:c r="P18" s="12" t="n">
        <x:f>M18</x:f>
        <x:v>424</x:v>
      </x:c>
      <x:c r="Q18" s="14" t="n">
        <x:f>IF(ISNUMBER(P18),IF(P18&gt;0,L18/P18,"不具意義"),"資料不足")</x:f>
        <x:v>3.193396226415094</x:v>
      </x:c>
      <x:c r="R18" s="12" t="str">
        <x:v>全年=最近12月</x:v>
      </x:c>
      <x:c r="S18" s="15" t="n">
        <x:f>'原始數據'!O18-F18-G18</x:f>
        <x:v>0</x:v>
      </x:c>
      <x:c r="T18" s="15" t="n">
        <x:f>G18-'原始數據'!S18-H18</x:f>
        <x:v>0</x:v>
      </x:c>
      <x:c r="U18" s="15" t="n">
        <x:f>SUM('原始數據'!G18,'原始數據'!H18,'原始數據'!I18)/'原始數據'!J18-J18</x:f>
        <x:v>-0.000016257088846671763</x:v>
      </x:c>
      <x:c r="V18" s="15" t="n">
        <x:f>'原始數據'!AA18/'原始數據'!AB18-K18</x:f>
        <x:v>-0.00004521452145200833</x:v>
      </x:c>
      <x:c r="W18" s="15" t="n">
        <x:f>M18/I18-'原始數據'!Y18</x:f>
        <x:v>0.000465116279070088</x:v>
      </x:c>
    </x:row>
    <x:row r="19" ht="25" customHeight="1">
      <x:c r="A19" s="3" t="n">
        <x:v>14</x:v>
      </x:c>
      <x:c r="B19" s="3" t="str">
        <x:v>INSULET CORPORATION</x:v>
      </x:c>
      <x:c r="C19" s="3" t="str">
        <x:v>2025-01-01~2025-06-30</x:v>
      </x:c>
      <x:c r="D19" s="3" t="str">
        <x:v>USD  million</x:v>
      </x:c>
      <x:c r="E19" s="12" t="n">
        <x:f>1</x:f>
        <x:v>1</x:v>
      </x:c>
      <x:c r="F19" s="12" t="n">
        <x:f>'原始數據'!P19</x:f>
        <x:v>357</x:v>
      </x:c>
      <x:c r="G19" s="12" t="n">
        <x:f>'原始數據'!Q19</x:f>
        <x:v>861</x:v>
      </x:c>
      <x:c r="H19" s="12" t="n">
        <x:f>'原始數據'!R19</x:f>
        <x:v>651</x:v>
      </x:c>
      <x:c r="I19" s="12" t="n">
        <x:f>'原始數據'!T19</x:f>
        <x:v>29</x:v>
      </x:c>
      <x:c r="J19" s="13" t="n">
        <x:f>'原始數據'!W19</x:f>
        <x:v>1.5505000000000002</x:v>
      </x:c>
      <x:c r="K19" s="13" t="n">
        <x:f>'原始數據'!X19</x:f>
        <x:v>1.3712</x:v>
      </x:c>
      <x:c r="L19" s="12" t="n">
        <x:f>SUM('原始數據'!K19,'原始數據'!L19,'原始數據'!M19,'原始數據'!N19)</x:f>
        <x:v>1377</x:v>
      </x:c>
      <x:c r="M19" s="12" t="n">
        <x:f>'原始數據'!U19+'原始數據'!T19+'原始數據'!V19</x:f>
        <x:v>149</x:v>
      </x:c>
      <x:c r="N19" s="12" t="n">
        <x:f>'原始數據'!S19+'原始數據'!V19</x:f>
        <x:v>254</x:v>
      </x:c>
      <x:c r="O19" s="12" t="n">
        <x:f>M19-N19</x:f>
        <x:v>-105</x:v>
      </x:c>
      <x:c r="P19" s="12" t="str">
        <x:v>資料不足</x:v>
      </x:c>
      <x:c r="Q19" s="14" t="str">
        <x:f>IF(ISNUMBER(P19),IF(P19&gt;0,L19/P19,"不具意義"),"資料不足")</x:f>
        <x:v>資料不足</x:v>
      </x:c>
      <x:c r="R19" s="12" t="str">
        <x:v>缺前年度同期</x:v>
      </x:c>
      <x:c r="S19" s="15" t="n">
        <x:f>'原始數據'!O19-F19-G19</x:f>
        <x:v>0</x:v>
      </x:c>
      <x:c r="T19" s="15" t="n">
        <x:f>G19-'原始數據'!S19-H19</x:f>
        <x:v>0</x:v>
      </x:c>
      <x:c r="U19" s="15" t="n">
        <x:f>SUM('原始數據'!G19,'原始數據'!H19,'原始數據'!I19)/'原始數據'!J19-J19</x:f>
        <x:v>-0.000004950495049671488</x:v>
      </x:c>
      <x:c r="V19" s="15" t="n">
        <x:f>'原始數據'!AA19/'原始數據'!AB19-K19</x:f>
        <x:v>-0.000044839371155180885</x:v>
      </x:c>
      <x:c r="W19" s="15" t="n">
        <x:f>M19/I19-'原始數據'!Y19</x:f>
        <x:v>-0.002068965517240784</x:v>
      </x:c>
    </x:row>
    <x:row r="20" ht="25" customHeight="1">
      <x:c r="A20" s="3" t="n">
        <x:v>15</x:v>
      </x:c>
      <x:c r="B20" s="3" t="str">
        <x:v>INSULET CORPORATION</x:v>
      </x:c>
      <x:c r="C20" s="3" t="str">
        <x:v>2025-01-01~2025-12-31</x:v>
      </x:c>
      <x:c r="D20" s="3" t="str">
        <x:v>USD  million</x:v>
      </x:c>
      <x:c r="E20" s="12" t="n">
        <x:f>1</x:f>
        <x:v>1</x:v>
      </x:c>
      <x:c r="F20" s="12" t="n">
        <x:f>'原始數據'!P20</x:f>
        <x:v>768</x:v>
      </x:c>
      <x:c r="G20" s="12" t="n">
        <x:f>'原始數據'!Q20</x:f>
        <x:v>1940</x:v>
      </x:c>
      <x:c r="H20" s="12" t="n">
        <x:f>'原始數據'!R20</x:f>
        <x:v>1466</x:v>
      </x:c>
      <x:c r="I20" s="12" t="n">
        <x:f>'原始數據'!T20</x:f>
        <x:v>60</x:v>
      </x:c>
      <x:c r="J20" s="13" t="n">
        <x:f>'原始數據'!W20</x:f>
        <x:v>1.8132</x:v>
      </x:c>
      <x:c r="K20" s="13" t="n">
        <x:f>'原始數據'!X20</x:f>
        <x:v>1.1056</x:v>
      </x:c>
      <x:c r="L20" s="12" t="n">
        <x:f>SUM('原始數據'!K20,'原始數據'!L20,'原始數據'!M20,'原始數據'!N20)</x:f>
        <x:v>933</x:v>
      </x:c>
      <x:c r="M20" s="12" t="n">
        <x:f>'原始數據'!U20+'原始數據'!T20+'原始數據'!V20</x:f>
        <x:v>489</x:v>
      </x:c>
      <x:c r="N20" s="12" t="n">
        <x:f>'原始數據'!S20+'原始數據'!V20</x:f>
        <x:v>564</x:v>
      </x:c>
      <x:c r="O20" s="12" t="n">
        <x:f>M20-N20</x:f>
        <x:v>-75</x:v>
      </x:c>
      <x:c r="P20" s="12" t="n">
        <x:f>M20</x:f>
        <x:v>489</x:v>
      </x:c>
      <x:c r="Q20" s="14" t="n">
        <x:f>IF(ISNUMBER(P20),IF(P20&gt;0,L20/P20,"不具意義"),"資料不足")</x:f>
        <x:v>1.9079754601226995</x:v>
      </x:c>
      <x:c r="R20" s="12" t="str">
        <x:v>全年=最近12月</x:v>
      </x:c>
      <x:c r="S20" s="15" t="n">
        <x:f>'原始數據'!O20-F20-G20</x:f>
        <x:v>0</x:v>
      </x:c>
      <x:c r="T20" s="15" t="n">
        <x:f>G20-'原始數據'!S20-H20</x:f>
        <x:v>0</x:v>
      </x:c>
      <x:c r="U20" s="15" t="n">
        <x:f>SUM('原始數據'!G20,'原始數據'!H20,'原始數據'!I20)/'原始數據'!J20-J20</x:f>
        <x:v>0.000035294117647133305</x:v>
      </x:c>
      <x:c r="V20" s="15" t="n">
        <x:f>'原始數據'!AA20/'原始數據'!AB20-K20</x:f>
        <x:v>0.000010561056105640176</x:v>
      </x:c>
      <x:c r="W20" s="15" t="n">
        <x:f>M20/I20-'原始數據'!Y20</x:f>
        <x:v>0</x:v>
      </x:c>
    </x:row>
    <x:row r="21" ht="25" customHeight="1">
      <x:c r="A21" s="3" t="n">
        <x:v>16</x:v>
      </x:c>
      <x:c r="B21" s="3" t="str">
        <x:v>INSULET CORPORATION</x:v>
      </x:c>
      <x:c r="C21" s="3" t="str">
        <x:v>2026-01-01~2026-06-30</x:v>
      </x:c>
      <x:c r="D21" s="3" t="str">
        <x:v>USD  million</x:v>
      </x:c>
      <x:c r="E21" s="12" t="n">
        <x:f>1</x:f>
        <x:v>1</x:v>
      </x:c>
      <x:c r="F21" s="12" t="n">
        <x:f>'原始數據'!P21</x:f>
        <x:v>472</x:v>
      </x:c>
      <x:c r="G21" s="12" t="n">
        <x:f>'原始數據'!Q21</x:f>
        <x:v>1091</x:v>
      </x:c>
      <x:c r="H21" s="12" t="n">
        <x:f>'原始數據'!R21</x:f>
        <x:v>840</x:v>
      </x:c>
      <x:c r="I21" s="12" t="n">
        <x:f>'原始數據'!T21</x:f>
        <x:v>28</x:v>
      </x:c>
      <x:c r="J21" s="13" t="n">
        <x:f>'原始數據'!W21</x:f>
        <x:v>1.5108000000000001</x:v>
      </x:c>
      <x:c r="K21" s="13" t="n">
        <x:f>'原始數據'!X21</x:f>
        <x:v>1.2257</x:v>
      </x:c>
      <x:c r="L21" s="12" t="n">
        <x:f>SUM('原始數據'!K21,'原始數據'!L21,'原始數據'!M21,'原始數據'!N21)</x:f>
        <x:v>932</x:v>
      </x:c>
      <x:c r="M21" s="12" t="n">
        <x:f>'原始數據'!U21+'原始數據'!T21+'原始數據'!V21</x:f>
        <x:v>313</x:v>
      </x:c>
      <x:c r="N21" s="12" t="n">
        <x:f>'原始數據'!S21+'原始數據'!V21</x:f>
        <x:v>304</x:v>
      </x:c>
      <x:c r="O21" s="12" t="n">
        <x:f>M21-N21</x:f>
        <x:v>9</x:v>
      </x:c>
      <x:c r="P21" s="12" t="n">
        <x:f>M20+M21-M19</x:f>
        <x:v>653</x:v>
      </x:c>
      <x:c r="Q21" s="14" t="n">
        <x:f>IF(ISNUMBER(P21),IF(P21&gt;0,L21/P21,"不具意義"),"資料不足")</x:f>
        <x:v>1.4272588055130169</x:v>
      </x:c>
      <x:c r="R21" s="12" t="str">
        <x:v>前全年+本YTD−前YTD</x:v>
      </x:c>
      <x:c r="S21" s="15" t="n">
        <x:f>'原始數據'!O21-F21-G21</x:f>
        <x:v>0</x:v>
      </x:c>
      <x:c r="T21" s="15" t="n">
        <x:f>G21-'原始數據'!S21-H21</x:f>
        <x:v>0</x:v>
      </x:c>
      <x:c r="U21" s="15" t="n">
        <x:f>SUM('原始數據'!G21,'原始數據'!H21,'原始數據'!I21)/'原始數據'!J21-J21</x:f>
        <x:v>-0.00004731182795714162</x:v>
      </x:c>
      <x:c r="V21" s="15" t="n">
        <x:f>'原始數據'!AA21/'原始數據'!AB21-K21</x:f>
        <x:v>0.000038396624472580854</x:v>
      </x:c>
      <x:c r="W21" s="15" t="n">
        <x:f>M21/I21-'原始數據'!Y21</x:f>
        <x:v>-0.0014285714285708906</x:v>
      </x:c>
    </x:row>
    <x:row r="22" ht="25" customHeight="1">
      <x:c r="A22" s="3" t="n">
        <x:v>17</x:v>
      </x:c>
      <x:c r="B22" s="3" t="str">
        <x:v>TRANSUNION</x:v>
      </x:c>
      <x:c r="C22" s="3" t="str">
        <x:v>2024-01-01~2024-12-31</x:v>
      </x:c>
      <x:c r="D22" s="3" t="str">
        <x:v>USD  million</x:v>
      </x:c>
      <x:c r="E22" s="12" t="n">
        <x:f>1</x:f>
        <x:v>1</x:v>
      </x:c>
      <x:c r="F22" s="12" t="n">
        <x:f>'原始數據'!P22</x:f>
        <x:v>1673</x:v>
      </x:c>
      <x:c r="G22" s="12" t="n">
        <x:f>'原始數據'!Q22</x:f>
        <x:v>2511</x:v>
      </x:c>
      <x:c r="H22" s="12" t="n">
        <x:f>'原始數據'!R22</x:f>
        <x:v>1844</x:v>
      </x:c>
      <x:c r="I22" s="12" t="n">
        <x:f>'原始數據'!T22</x:f>
        <x:v>265</x:v>
      </x:c>
      <x:c r="J22" s="13" t="n">
        <x:f>'原始數據'!W22</x:f>
        <x:v>1.3953</x:v>
      </x:c>
      <x:c r="K22" s="13" t="n">
        <x:f>'原始數據'!X22</x:f>
        <x:v>1.5444</x:v>
      </x:c>
      <x:c r="L22" s="12" t="n">
        <x:f>SUM('原始數據'!K22,'原始數據'!L22,'原始數據'!M22,'原始數據'!N22)</x:f>
        <x:v>5148</x:v>
      </x:c>
      <x:c r="M22" s="12" t="n">
        <x:f>'原始數據'!U22+'原始數據'!T22+'原始數據'!V22</x:f>
        <x:v>1190</x:v>
      </x:c>
      <x:c r="N22" s="12" t="n">
        <x:f>'原始數據'!S22+'原始數據'!V22</x:f>
        <x:v>1191</x:v>
      </x:c>
      <x:c r="O22" s="12" t="n">
        <x:f>M22-N22</x:f>
        <x:v>-1</x:v>
      </x:c>
      <x:c r="P22" s="12" t="n">
        <x:f>M22</x:f>
        <x:v>1190</x:v>
      </x:c>
      <x:c r="Q22" s="14" t="n">
        <x:f>IF(ISNUMBER(P22),IF(P22&gt;0,L22/P22,"不具意義"),"資料不足")</x:f>
        <x:v>4.326050420168067</x:v>
      </x:c>
      <x:c r="R22" s="12" t="str">
        <x:v>全年=最近12月</x:v>
      </x:c>
      <x:c r="S22" s="15" t="n">
        <x:f>'原始數據'!O22-F22-G22</x:f>
        <x:v>0</x:v>
      </x:c>
      <x:c r="T22" s="15" t="n">
        <x:f>G22-'原始數據'!S22-H22</x:f>
        <x:v>0</x:v>
      </x:c>
      <x:c r="U22" s="15" t="n">
        <x:f>SUM('原始數據'!G22,'原始數據'!H22,'原始數據'!I22)/'原始數據'!J22-J22</x:f>
        <x:v>-0.00001698113207537766</x:v>
      </x:c>
      <x:c r="V22" s="15" t="n">
        <x:f>'原始數據'!AA22/'原始數據'!AB22-K22</x:f>
        <x:v>-0.000040491081769733483</x:v>
      </x:c>
      <x:c r="W22" s="15" t="n">
        <x:f>M22/I22-'原始數據'!Y22</x:f>
        <x:v>0.0005660377358491786</x:v>
      </x:c>
    </x:row>
    <x:row r="23" ht="25" customHeight="1">
      <x:c r="A23" s="3" t="n">
        <x:v>18</x:v>
      </x:c>
      <x:c r="B23" s="3" t="str">
        <x:v>TRANSUNION</x:v>
      </x:c>
      <x:c r="C23" s="3" t="str">
        <x:v>2025-01-01~2025-03-31</x:v>
      </x:c>
      <x:c r="D23" s="3" t="str">
        <x:v>USD  million</x:v>
      </x:c>
      <x:c r="E23" s="12" t="n">
        <x:f>1</x:f>
        <x:v>1</x:v>
      </x:c>
      <x:c r="F23" s="12" t="n">
        <x:f>'原始數據'!P23</x:f>
        <x:v>446</x:v>
      </x:c>
      <x:c r="G23" s="12" t="n">
        <x:f>'原始數據'!Q23</x:f>
        <x:v>650</x:v>
      </x:c>
      <x:c r="H23" s="12" t="n">
        <x:f>'原始數據'!R23</x:f>
        <x:v>396</x:v>
      </x:c>
      <x:c r="I23" s="12" t="n">
        <x:f>'原始數據'!T23</x:f>
        <x:v>56</x:v>
      </x:c>
      <x:c r="J23" s="13" t="n">
        <x:f>'原始數據'!W23</x:f>
        <x:v>1.6783000000000001</x:v>
      </x:c>
      <x:c r="K23" s="13" t="n">
        <x:f>'原始數據'!X23</x:f>
        <x:v>1.4374</x:v>
      </x:c>
      <x:c r="L23" s="12" t="n">
        <x:f>SUM('原始數據'!K23,'原始數據'!L23,'原始數據'!M23,'原始數據'!N23)</x:f>
        <x:v>5131</x:v>
      </x:c>
      <x:c r="M23" s="12" t="n">
        <x:f>'原始數據'!U23+'原始數據'!T23+'原始數據'!V23</x:f>
        <x:v>389</x:v>
      </x:c>
      <x:c r="N23" s="12" t="n">
        <x:f>'原始數據'!S23+'原始數據'!V23</x:f>
        <x:v>393</x:v>
      </x:c>
      <x:c r="O23" s="12" t="n">
        <x:f>M23-N23</x:f>
        <x:v>-4</x:v>
      </x:c>
      <x:c r="P23" s="12" t="str">
        <x:v>資料不足</x:v>
      </x:c>
      <x:c r="Q23" s="14" t="str">
        <x:f>IF(ISNUMBER(P23),IF(P23&gt;0,L23/P23,"不具意義"),"資料不足")</x:f>
        <x:v>資料不足</x:v>
      </x:c>
      <x:c r="R23" s="12" t="str">
        <x:v>缺前年度同期</x:v>
      </x:c>
      <x:c r="S23" s="15" t="n">
        <x:f>'原始數據'!O23-F23-G23</x:f>
        <x:v>0</x:v>
      </x:c>
      <x:c r="T23" s="15" t="n">
        <x:f>G23-'原始數據'!S23-H23</x:f>
        <x:v>0</x:v>
      </x:c>
      <x:c r="U23" s="15" t="n">
        <x:f>SUM('原始數據'!G23,'原始數據'!H23,'原始數據'!I23)/'原始數據'!J23-J23</x:f>
        <x:v>-0.000009786276715439968</x:v>
      </x:c>
      <x:c r="V23" s="15" t="n">
        <x:f>'原始數據'!AA23/'原始數據'!AB23-K23</x:f>
        <x:v>0.000044345503116716145</x:v>
      </x:c>
      <x:c r="W23" s="15" t="n">
        <x:f>M23/I23-'原始數據'!Y23</x:f>
        <x:v>-0.003571428571429003</x:v>
      </x:c>
    </x:row>
    <x:row r="24" ht="25" customHeight="1">
      <x:c r="A24" s="3" t="n">
        <x:v>19</x:v>
      </x:c>
      <x:c r="B24" s="3" t="str">
        <x:v>TRANSUNION</x:v>
      </x:c>
      <x:c r="C24" s="3" t="str">
        <x:v>2025-01-01~2025-12-31</x:v>
      </x:c>
      <x:c r="D24" s="3" t="str">
        <x:v>USD  million</x:v>
      </x:c>
      <x:c r="E24" s="12" t="n">
        <x:f>1</x:f>
        <x:v>1</x:v>
      </x:c>
      <x:c r="F24" s="12" t="n">
        <x:f>'原始數據'!P24</x:f>
        <x:v>1872</x:v>
      </x:c>
      <x:c r="G24" s="12" t="n">
        <x:f>'原始數據'!Q24</x:f>
        <x:v>2704</x:v>
      </x:c>
      <x:c r="H24" s="12" t="n">
        <x:f>'原始數據'!R24</x:f>
        <x:v>1846</x:v>
      </x:c>
      <x:c r="I24" s="12" t="n">
        <x:f>'原始數據'!T24</x:f>
        <x:v>236</x:v>
      </x:c>
      <x:c r="J24" s="13" t="n">
        <x:f>'原始數據'!W24</x:f>
        <x:v>1.5221</x:v>
      </x:c>
      <x:c r="K24" s="13" t="n">
        <x:f>'原始數據'!X24</x:f>
        <x:v>1.4450999999999998</x:v>
      </x:c>
      <x:c r="L24" s="12" t="n">
        <x:f>SUM('原始數據'!K24,'原始數據'!L24,'原始數據'!M24,'原始數據'!N24)</x:f>
        <x:v>5104</x:v>
      </x:c>
      <x:c r="M24" s="12" t="n">
        <x:f>'原始數據'!U24+'原始數據'!T24+'原始數據'!V24</x:f>
        <x:v>1424</x:v>
      </x:c>
      <x:c r="N24" s="12" t="n">
        <x:f>'原始數據'!S24+'原始數據'!V24</x:f>
        <x:v>1403</x:v>
      </x:c>
      <x:c r="O24" s="12" t="n">
        <x:f>M24-N24</x:f>
        <x:v>21</x:v>
      </x:c>
      <x:c r="P24" s="12" t="n">
        <x:f>M24</x:f>
        <x:v>1424</x:v>
      </x:c>
      <x:c r="Q24" s="14" t="n">
        <x:f>IF(ISNUMBER(P24),IF(P24&gt;0,L24/P24,"不具意義"),"資料不足")</x:f>
        <x:v>3.5842696629213484</x:v>
      </x:c>
      <x:c r="R24" s="12" t="str">
        <x:v>全年=最近12月</x:v>
      </x:c>
      <x:c r="S24" s="15" t="n">
        <x:f>'原始數據'!O24-F24-G24</x:f>
        <x:v>0</x:v>
      </x:c>
      <x:c r="T24" s="15" t="n">
        <x:f>G24-'原始數據'!S24-H24</x:f>
        <x:v>0</x:v>
      </x:c>
      <x:c r="U24" s="15" t="n">
        <x:f>SUM('原始數據'!G24,'原始數據'!H24,'原始數據'!I24)/'原始數據'!J24-J24</x:f>
        <x:v>-0.00002207792207786774</x:v>
      </x:c>
      <x:c r="V24" s="15" t="n">
        <x:f>'原始數據'!AA24/'原始數據'!AB24-K24</x:f>
        <x:v>0.0000045104510453253255</x:v>
      </x:c>
      <x:c r="W24" s="15" t="n">
        <x:f>M24/I24-'原始數據'!Y24</x:f>
        <x:v>0.0038983050847454237</x:v>
      </x:c>
    </x:row>
    <x:row r="25" ht="25" customHeight="1">
      <x:c r="A25" s="3" t="n">
        <x:v>20</x:v>
      </x:c>
      <x:c r="B25" s="3" t="str">
        <x:v>TRANSUNION</x:v>
      </x:c>
      <x:c r="C25" s="3" t="str">
        <x:v>2026-01-01~2026-03-31</x:v>
      </x:c>
      <x:c r="D25" s="3" t="str">
        <x:v>USD  million</x:v>
      </x:c>
      <x:c r="E25" s="12" t="n">
        <x:f>1</x:f>
        <x:v>1</x:v>
      </x:c>
      <x:c r="F25" s="12" t="n">
        <x:f>'原始數據'!P25</x:f>
        <x:v>520</x:v>
      </x:c>
      <x:c r="G25" s="12" t="n">
        <x:f>'原始數據'!Q25</x:f>
        <x:v>726</x:v>
      </x:c>
      <x:c r="H25" s="12" t="n">
        <x:f>'原始數據'!R25</x:f>
        <x:v>481</x:v>
      </x:c>
      <x:c r="I25" s="12" t="n">
        <x:f>'原始數據'!T25</x:f>
        <x:v>62</x:v>
      </x:c>
      <x:c r="J25" s="13" t="n">
        <x:f>'原始數據'!W25</x:f>
        <x:v>1.7008</x:v>
      </x:c>
      <x:c r="K25" s="13" t="n">
        <x:f>'原始數據'!X25</x:f>
        <x:v>1.4516</x:v>
      </x:c>
      <x:c r="L25" s="12" t="n">
        <x:f>SUM('原始數據'!K25,'原始數據'!L25,'原始數據'!M25,'原始數據'!N25)</x:f>
        <x:v>5607</x:v>
      </x:c>
      <x:c r="M25" s="12" t="n">
        <x:f>'原始數據'!U25+'原始數據'!T25+'原始數據'!V25</x:f>
        <x:v>642</x:v>
      </x:c>
      <x:c r="N25" s="12" t="n">
        <x:f>'原始數據'!S25+'原始數據'!V25</x:f>
        <x:v>397</x:v>
      </x:c>
      <x:c r="O25" s="12" t="n">
        <x:f>M25-N25</x:f>
        <x:v>245</x:v>
      </x:c>
      <x:c r="P25" s="12" t="n">
        <x:f>M24+M25-M23</x:f>
        <x:v>1677</x:v>
      </x:c>
      <x:c r="Q25" s="14" t="n">
        <x:f>IF(ISNUMBER(P25),IF(P25&gt;0,L25/P25,"不具意義"),"資料不足")</x:f>
        <x:v>3.3434704830053668</x:v>
      </x:c>
      <x:c r="R25" s="12" t="str">
        <x:v>前全年+本YTD−前YTD</x:v>
      </x:c>
      <x:c r="S25" s="15" t="n">
        <x:f>'原始數據'!O25-F25-G25</x:f>
        <x:v>0</x:v>
      </x:c>
      <x:c r="T25" s="15" t="n">
        <x:f>G25-'原始數據'!S25-H25</x:f>
        <x:v>0</x:v>
      </x:c>
      <x:c r="U25" s="15" t="n">
        <x:f>SUM('原始數據'!G25,'原始數據'!H25,'原始數據'!I25)/'原始數據'!J25-J25</x:f>
        <x:v>-0.00003518164435956095</x:v>
      </x:c>
      <x:c r="V25" s="15" t="n">
        <x:f>'原始數據'!AA25/'原始數據'!AB25-K25</x:f>
        <x:v>-0.00003304843304841043</x:v>
      </x:c>
      <x:c r="W25" s="15" t="n">
        <x:f>M25/I25-'原始數據'!Y25</x:f>
        <x:v>0.004838709677420283</x:v>
      </x:c>
    </x:row>
    <x:row r="26" ht="25" customHeight="1">
      <x:c r="A26" s="3" t="n">
        <x:v>21</x:v>
      </x:c>
      <x:c r="B26" s="3" t="str">
        <x:v>TRANSUNION</x:v>
      </x:c>
      <x:c r="C26" s="3" t="str">
        <x:v>2024-01-01~2024-12-31</x:v>
      </x:c>
      <x:c r="D26" s="3" t="str">
        <x:v>USD  million</x:v>
      </x:c>
      <x:c r="E26" s="12" t="n">
        <x:f>1</x:f>
        <x:v>1</x:v>
      </x:c>
      <x:c r="F26" s="12" t="n">
        <x:f>'原始數據'!P26</x:f>
        <x:v>1673</x:v>
      </x:c>
      <x:c r="G26" s="12" t="n">
        <x:f>'原始數據'!Q26</x:f>
        <x:v>2511</x:v>
      </x:c>
      <x:c r="H26" s="12" t="n">
        <x:f>'原始數據'!R26</x:f>
        <x:v>1844</x:v>
      </x:c>
      <x:c r="I26" s="12" t="n">
        <x:f>'原始數據'!T26</x:f>
        <x:v>265</x:v>
      </x:c>
      <x:c r="J26" s="13" t="n">
        <x:f>'原始數據'!W26</x:f>
        <x:v>1.3953</x:v>
      </x:c>
      <x:c r="K26" s="13" t="n">
        <x:f>'原始數據'!X26</x:f>
        <x:v>1.5444</x:v>
      </x:c>
      <x:c r="L26" s="12" t="n">
        <x:f>SUM('原始數據'!K26,'原始數據'!L26,'原始數據'!M26,'原始數據'!N26)</x:f>
        <x:v>5148</x:v>
      </x:c>
      <x:c r="M26" s="12" t="n">
        <x:f>'原始數據'!U26+'原始數據'!T26+'原始數據'!V26</x:f>
        <x:v>1190</x:v>
      </x:c>
      <x:c r="N26" s="12" t="n">
        <x:f>'原始數據'!S26+'原始數據'!V26</x:f>
        <x:v>1191</x:v>
      </x:c>
      <x:c r="O26" s="12" t="n">
        <x:f>M26-N26</x:f>
        <x:v>-1</x:v>
      </x:c>
      <x:c r="P26" s="12" t="n">
        <x:f>M26</x:f>
        <x:v>1190</x:v>
      </x:c>
      <x:c r="Q26" s="14" t="n">
        <x:f>IF(ISNUMBER(P26),IF(P26&gt;0,L26/P26,"不具意義"),"資料不足")</x:f>
        <x:v>4.326050420168067</x:v>
      </x:c>
      <x:c r="R26" s="12" t="str">
        <x:v>全年=最近12月</x:v>
      </x:c>
      <x:c r="S26" s="15" t="n">
        <x:f>'原始數據'!O26-F26-G26</x:f>
        <x:v>0</x:v>
      </x:c>
      <x:c r="T26" s="15" t="n">
        <x:f>G26-'原始數據'!S26-H26</x:f>
        <x:v>0</x:v>
      </x:c>
      <x:c r="U26" s="15" t="n">
        <x:f>SUM('原始數據'!G26,'原始數據'!H26,'原始數據'!I26)/'原始數據'!J26-J26</x:f>
        <x:v>-0.00001698113207537766</x:v>
      </x:c>
      <x:c r="V26" s="15" t="n">
        <x:f>'原始數據'!AA26/'原始數據'!AB26-K26</x:f>
        <x:v>-0.000040491081769733483</x:v>
      </x:c>
      <x:c r="W26" s="15" t="n">
        <x:f>M26/I26-'原始數據'!Y26</x:f>
        <x:v>0.0005660377358491786</x:v>
      </x:c>
    </x:row>
    <x:row r="27" ht="25" customHeight="1">
      <x:c r="A27" s="3" t="n">
        <x:v>22</x:v>
      </x:c>
      <x:c r="B27" s="3" t="str">
        <x:v>TRANSUNION</x:v>
      </x:c>
      <x:c r="C27" s="3" t="str">
        <x:v>2025-01-01~2025-06-30</x:v>
      </x:c>
      <x:c r="D27" s="3" t="str">
        <x:v>USD  million</x:v>
      </x:c>
      <x:c r="E27" s="12" t="n">
        <x:f>1</x:f>
        <x:v>1</x:v>
      </x:c>
      <x:c r="F27" s="12" t="n">
        <x:f>'原始數據'!P27</x:f>
        <x:v>916</x:v>
      </x:c>
      <x:c r="G27" s="12" t="n">
        <x:f>'原始數據'!Q27</x:f>
        <x:v>1320</x:v>
      </x:c>
      <x:c r="H27" s="12" t="n">
        <x:f>'原始數據'!R27</x:f>
        <x:v>873</x:v>
      </x:c>
      <x:c r="I27" s="12" t="n">
        <x:f>'原始數據'!T27</x:f>
        <x:v>112</x:v>
      </x:c>
      <x:c r="J27" s="13" t="n">
        <x:f>'原始數據'!W27</x:f>
        <x:v>1.6833</x:v>
      </x:c>
      <x:c r="K27" s="13" t="n">
        <x:f>'原始數據'!X27</x:f>
        <x:v>1.4034</x:v>
      </x:c>
      <x:c r="L27" s="12" t="n">
        <x:f>SUM('原始數據'!K27,'原始數據'!L27,'原始數據'!M27,'原始數據'!N27)</x:f>
        <x:v>5136</x:v>
      </x:c>
      <x:c r="M27" s="12" t="n">
        <x:f>'原始數據'!U27+'原始數據'!T27+'原始數據'!V27</x:f>
        <x:v>744</x:v>
      </x:c>
      <x:c r="N27" s="12" t="n">
        <x:f>'原始數據'!S27+'原始數據'!V27</x:f>
        <x:v>729</x:v>
      </x:c>
      <x:c r="O27" s="12" t="n">
        <x:f>M27-N27</x:f>
        <x:v>15</x:v>
      </x:c>
      <x:c r="P27" s="12" t="str">
        <x:v>資料不足</x:v>
      </x:c>
      <x:c r="Q27" s="14" t="str">
        <x:f>IF(ISNUMBER(P27),IF(P27&gt;0,L27/P27,"不具意義"),"資料不足")</x:f>
        <x:v>資料不足</x:v>
      </x:c>
      <x:c r="R27" s="12" t="str">
        <x:v>缺前年度同期</x:v>
      </x:c>
      <x:c r="S27" s="15" t="n">
        <x:f>'原始數據'!O27-F27-G27</x:f>
        <x:v>0</x:v>
      </x:c>
      <x:c r="T27" s="15" t="n">
        <x:f>G27-'原始數據'!S27-H27</x:f>
        <x:v>0</x:v>
      </x:c>
      <x:c r="U27" s="15" t="n">
        <x:f>SUM('原始數據'!G27,'原始數據'!H27,'原始數據'!I27)/'原始數據'!J27-J27</x:f>
        <x:v>0.000015621679064770078</x:v>
      </x:c>
      <x:c r="V27" s="15" t="n">
        <x:f>'原始數據'!AA27/'原始數據'!AB27-K27</x:f>
        <x:v>-0.000027756160830172405</x:v>
      </x:c>
      <x:c r="W27" s="15" t="n">
        <x:f>M27/I27-'原始數據'!Y27</x:f>
        <x:v>0.0028571428571435575</x:v>
      </x:c>
    </x:row>
    <x:row r="28" ht="25" customHeight="1">
      <x:c r="A28" s="3" t="n">
        <x:v>23</x:v>
      </x:c>
      <x:c r="B28" s="3" t="str">
        <x:v>TRANSUNION</x:v>
      </x:c>
      <x:c r="C28" s="3" t="str">
        <x:v>2025-01-01~2025-12-31</x:v>
      </x:c>
      <x:c r="D28" s="3" t="str">
        <x:v>USD  million</x:v>
      </x:c>
      <x:c r="E28" s="12" t="n">
        <x:f>1</x:f>
        <x:v>1</x:v>
      </x:c>
      <x:c r="F28" s="12" t="n">
        <x:f>'原始數據'!P28</x:f>
        <x:v>1872</x:v>
      </x:c>
      <x:c r="G28" s="12" t="n">
        <x:f>'原始數據'!Q28</x:f>
        <x:v>2704</x:v>
      </x:c>
      <x:c r="H28" s="12" t="n">
        <x:f>'原始數據'!R28</x:f>
        <x:v>1846</x:v>
      </x:c>
      <x:c r="I28" s="12" t="n">
        <x:f>'原始數據'!T28</x:f>
        <x:v>236</x:v>
      </x:c>
      <x:c r="J28" s="13" t="n">
        <x:f>'原始數據'!W28</x:f>
        <x:v>1.5221</x:v>
      </x:c>
      <x:c r="K28" s="13" t="n">
        <x:f>'原始數據'!X28</x:f>
        <x:v>1.4450999999999998</x:v>
      </x:c>
      <x:c r="L28" s="12" t="n">
        <x:f>SUM('原始數據'!K28,'原始數據'!L28,'原始數據'!M28,'原始數據'!N28)</x:f>
        <x:v>5104</x:v>
      </x:c>
      <x:c r="M28" s="12" t="n">
        <x:f>'原始數據'!U28+'原始數據'!T28+'原始數據'!V28</x:f>
        <x:v>1424</x:v>
      </x:c>
      <x:c r="N28" s="12" t="n">
        <x:f>'原始數據'!S28+'原始數據'!V28</x:f>
        <x:v>1403</x:v>
      </x:c>
      <x:c r="O28" s="12" t="n">
        <x:f>M28-N28</x:f>
        <x:v>21</x:v>
      </x:c>
      <x:c r="P28" s="12" t="n">
        <x:f>M28</x:f>
        <x:v>1424</x:v>
      </x:c>
      <x:c r="Q28" s="14" t="n">
        <x:f>IF(ISNUMBER(P28),IF(P28&gt;0,L28/P28,"不具意義"),"資料不足")</x:f>
        <x:v>3.5842696629213484</x:v>
      </x:c>
      <x:c r="R28" s="12" t="str">
        <x:v>全年=最近12月</x:v>
      </x:c>
      <x:c r="S28" s="15" t="n">
        <x:f>'原始數據'!O28-F28-G28</x:f>
        <x:v>0</x:v>
      </x:c>
      <x:c r="T28" s="15" t="n">
        <x:f>G28-'原始數據'!S28-H28</x:f>
        <x:v>0</x:v>
      </x:c>
      <x:c r="U28" s="15" t="n">
        <x:f>SUM('原始數據'!G28,'原始數據'!H28,'原始數據'!I28)/'原始數據'!J28-J28</x:f>
        <x:v>-0.00002207792207786774</x:v>
      </x:c>
      <x:c r="V28" s="15" t="n">
        <x:f>'原始數據'!AA28/'原始數據'!AB28-K28</x:f>
        <x:v>0.0000045104510453253255</x:v>
      </x:c>
      <x:c r="W28" s="15" t="n">
        <x:f>M28/I28-'原始數據'!Y28</x:f>
        <x:v>0.0038983050847454237</x:v>
      </x:c>
    </x:row>
    <x:row r="29" ht="25" customHeight="1">
      <x:c r="A29" s="3" t="n">
        <x:v>24</x:v>
      </x:c>
      <x:c r="B29" s="3" t="str">
        <x:v>TRANSUNION</x:v>
      </x:c>
      <x:c r="C29" s="3" t="str">
        <x:v>2026-01-01~2026-06-30</x:v>
      </x:c>
      <x:c r="D29" s="3" t="str">
        <x:v>USD  million</x:v>
      </x:c>
      <x:c r="E29" s="12" t="n">
        <x:f>1</x:f>
        <x:v>1</x:v>
      </x:c>
      <x:c r="F29" s="12" t="n">
        <x:f>'原始數據'!P29</x:f>
        <x:v>1064</x:v>
      </x:c>
      <x:c r="G29" s="12" t="n">
        <x:f>'原始數據'!Q29</x:f>
        <x:v>1491</x:v>
      </x:c>
      <x:c r="H29" s="12" t="n">
        <x:f>'原始數據'!R29</x:f>
        <x:v>988</x:v>
      </x:c>
      <x:c r="I29" s="12" t="n">
        <x:f>'原始數據'!T29</x:f>
        <x:v>128</x:v>
      </x:c>
      <x:c r="J29" s="13" t="n">
        <x:f>'原始數據'!W29</x:f>
        <x:v>1.6466</x:v>
      </x:c>
      <x:c r="K29" s="13" t="n">
        <x:f>'原始數據'!X29</x:f>
        <x:v>1.4385</x:v>
      </x:c>
      <x:c r="L29" s="12" t="n">
        <x:f>SUM('原始數據'!K29,'原始數據'!L29,'原始數據'!M29,'原始數據'!N29)</x:f>
        <x:v>5585</x:v>
      </x:c>
      <x:c r="M29" s="12" t="n">
        <x:f>'原始數據'!U29+'原始數據'!T29+'原始數據'!V29</x:f>
        <x:v>1070</x:v>
      </x:c>
      <x:c r="N29" s="12" t="n">
        <x:f>'原始數據'!S29+'原始數據'!V29</x:f>
        <x:v>816</x:v>
      </x:c>
      <x:c r="O29" s="12" t="n">
        <x:f>M29-N29</x:f>
        <x:v>254</x:v>
      </x:c>
      <x:c r="P29" s="12" t="n">
        <x:f>M28+M29-M27</x:f>
        <x:v>1750</x:v>
      </x:c>
      <x:c r="Q29" s="14" t="n">
        <x:f>IF(ISNUMBER(P29),IF(P29&gt;0,L29/P29,"不具意義"),"資料不足")</x:f>
        <x:v>3.1914285714285713</x:v>
      </x:c>
      <x:c r="R29" s="12" t="str">
        <x:v>前全年+本YTD−前YTD</x:v>
      </x:c>
      <x:c r="S29" s="15" t="n">
        <x:f>'原始數據'!O29-F29-G29</x:f>
        <x:v>0</x:v>
      </x:c>
      <x:c r="T29" s="15" t="n">
        <x:f>G29-'原始數據'!S29-H29</x:f>
        <x:v>0</x:v>
      </x:c>
      <x:c r="U29" s="15" t="n">
        <x:f>SUM('原始數據'!G29,'原始數據'!H29,'原始數據'!I29)/'原始數據'!J29-J29</x:f>
        <x:v>-0.0000031413612566755234</x:v>
      </x:c>
      <x:c r="V29" s="15" t="n">
        <x:f>'原始數據'!AA29/'原始數據'!AB29-K29</x:f>
        <x:v>-0.000012302460491886436</x:v>
      </x:c>
      <x:c r="W29" s="15" t="n">
        <x:f>M29/I29-'原始數據'!Y29</x:f>
        <x:v>-0.0006249999999994316</x:v>
      </x:c>
    </x:row>
    <x:row r="30" ht="25" customHeight="1">
      <x:c r="A30" s="3" t="n">
        <x:v>25</x:v>
      </x:c>
      <x:c r="B30" s="3" t="str">
        <x:v>NEXSTAR MEDIA GROUP, INC.</x:v>
      </x:c>
      <x:c r="C30" s="3" t="str">
        <x:v>2022-01-01~2022-12-31</x:v>
      </x:c>
      <x:c r="D30" s="3" t="str">
        <x:v>USD  thousand</x:v>
      </x:c>
      <x:c r="E30" s="12" t="n">
        <x:f>0.001</x:f>
        <x:v>0.001</x:v>
      </x:c>
      <x:c r="F30" s="12" t="n">
        <x:f>'原始數據'!P30</x:f>
        <x:v>2005000</x:v>
      </x:c>
      <x:c r="G30" s="12" t="n">
        <x:f>'原始數據'!Q30</x:f>
        <x:v>3206000</x:v>
      </x:c>
      <x:c r="H30" s="12" t="n">
        <x:f>'原始數據'!R30</x:f>
        <x:v>1893900</x:v>
      </x:c>
      <x:c r="I30" s="12" t="n">
        <x:f>'原始數據'!T30</x:f>
        <x:v>336600</x:v>
      </x:c>
      <x:c r="J30" s="13" t="n">
        <x:f>'原始數據'!W30</x:f>
        <x:v>1.4369999999999998</x:v>
      </x:c>
      <x:c r="K30" s="13" t="n">
        <x:f>'原始數據'!X30</x:f>
        <x:v>3.5784</x:v>
      </x:c>
      <x:c r="L30" s="12" t="n">
        <x:f>SUM('原始數據'!K30,'原始數據'!L30,'原始數據'!M30,'原始數據'!N30)</x:f>
        <x:v>6951500</x:v>
      </x:c>
      <x:c r="M30" s="12" t="n">
        <x:f>'原始數據'!U30+'原始數據'!T30+'原始數據'!V30</x:f>
        <x:v>2215800</x:v>
      </x:c>
      <x:c r="N30" s="12" t="n">
        <x:f>'原始數據'!S30+'原始數據'!V30</x:f>
        <x:v>1974200</x:v>
      </x:c>
      <x:c r="O30" s="12" t="n">
        <x:f>M30-N30</x:f>
        <x:v>241600</x:v>
      </x:c>
      <x:c r="P30" s="12" t="n">
        <x:f>M30</x:f>
        <x:v>2215800</x:v>
      </x:c>
      <x:c r="Q30" s="14" t="n">
        <x:f>IF(ISNUMBER(P30),IF(P30&gt;0,L30/P30,"不具意義"),"資料不足")</x:f>
        <x:v>3.1372416283058038</x:v>
      </x:c>
      <x:c r="R30" s="12" t="str">
        <x:v>全年=最近12月</x:v>
      </x:c>
      <x:c r="S30" s="15" t="n">
        <x:f>'原始數據'!O30-F30-G30</x:f>
        <x:v>0</x:v>
      </x:c>
      <x:c r="T30" s="15" t="n">
        <x:f>G30-'原始數據'!S30-H30</x:f>
        <x:v>0</x:v>
      </x:c>
      <x:c r="U30" s="15" t="n">
        <x:f>SUM('原始數據'!G30,'原始數據'!H30,'原始數據'!I30)/'原始數據'!J30-J30</x:f>
        <x:v>-0.000031795790416344616</x:v>
      </x:c>
      <x:c r="V30" s="15" t="n">
        <x:f>'原始數據'!AA30/'原始數據'!AB30-K30</x:f>
        <x:v>-0.000022792763513912462</x:v>
      </x:c>
      <x:c r="W30" s="15" t="n">
        <x:f>M30/I30-'原始數據'!Y30</x:f>
        <x:v>0.0028877005347593965</x:v>
      </x:c>
    </x:row>
    <x:row r="31" ht="25" customHeight="1">
      <x:c r="A31" s="3" t="n">
        <x:v>26</x:v>
      </x:c>
      <x:c r="B31" s="3" t="str">
        <x:v>NEXSTAR MEDIA GROUP, INC.</x:v>
      </x:c>
      <x:c r="C31" s="3" t="str">
        <x:v>2023-01-01~2023-12-31</x:v>
      </x:c>
      <x:c r="D31" s="3" t="str">
        <x:v>USD  thousand</x:v>
      </x:c>
      <x:c r="E31" s="12" t="n">
        <x:f>0.001</x:f>
        <x:v>0.001</x:v>
      </x:c>
      <x:c r="F31" s="12" t="n">
        <x:f>'原始數據'!P31</x:f>
        <x:v>2153000</x:v>
      </x:c>
      <x:c r="G31" s="12" t="n">
        <x:f>'原始數據'!Q31</x:f>
        <x:v>2780000</x:v>
      </x:c>
      <x:c r="H31" s="12" t="n">
        <x:f>'原始數據'!R31</x:f>
        <x:v>2072000</x:v>
      </x:c>
      <x:c r="I31" s="12" t="n">
        <x:f>'原始數據'!T31</x:f>
        <x:v>447000</x:v>
      </x:c>
      <x:c r="J31" s="13" t="n">
        <x:f>'原始數據'!W31</x:f>
        <x:v>1.2799</x:v>
      </x:c>
      <x:c r="K31" s="13" t="n">
        <x:f>'原始數據'!X31</x:f>
        <x:v>4.2218</x:v>
      </x:c>
      <x:c r="L31" s="12" t="n">
        <x:f>SUM('原始數據'!K31,'原始數據'!L31,'原始數據'!M31,'原始數據'!N31)</x:f>
        <x:v>6837000</x:v>
      </x:c>
      <x:c r="M31" s="12" t="n">
        <x:f>'原始數據'!U31+'原始數據'!T31+'原始數據'!V31</x:f>
        <x:v>1789000</x:v>
      </x:c>
      <x:c r="N31" s="12" t="n">
        <x:f>'原始數據'!S31+'原始數據'!V31</x:f>
        <x:v>1649000</x:v>
      </x:c>
      <x:c r="O31" s="12" t="n">
        <x:f>M31-N31</x:f>
        <x:v>140000</x:v>
      </x:c>
      <x:c r="P31" s="12" t="n">
        <x:f>M31</x:f>
        <x:v>1789000</x:v>
      </x:c>
      <x:c r="Q31" s="14" t="n">
        <x:f>IF(ISNUMBER(P31),IF(P31&gt;0,L31/P31,"不具意義"),"資料不足")</x:f>
        <x:v>3.821688093907211</x:v>
      </x:c>
      <x:c r="R31" s="12" t="str">
        <x:v>全年=最近12月</x:v>
      </x:c>
      <x:c r="S31" s="15" t="n">
        <x:f>'原始數據'!O31-F31-G31</x:f>
        <x:v>0</x:v>
      </x:c>
      <x:c r="T31" s="15" t="n">
        <x:f>G31-'原始數據'!S31-H31</x:f>
        <x:v>0</x:v>
      </x:c>
      <x:c r="U31" s="15" t="n">
        <x:f>SUM('原始數據'!G31,'原始數據'!H31,'原始數據'!I31)/'原始數據'!J31-J31</x:f>
        <x:v>0.000016753381893774844</x:v>
      </x:c>
      <x:c r="V31" s="15" t="n">
        <x:f>'原始數據'!AA31/'原始數據'!AB31-K31</x:f>
        <x:v>-0.000010116731517406663</x:v>
      </x:c>
      <x:c r="W31" s="15" t="n">
        <x:f>M31/I31-'原始數據'!Y31</x:f>
        <x:v>0.0022371364653244186</x:v>
      </x:c>
    </x:row>
    <x:row r="32" ht="25" customHeight="1">
      <x:c r="A32" s="3" t="n">
        <x:v>27</x:v>
      </x:c>
      <x:c r="B32" s="3" t="str">
        <x:v>NEXSTAR MEDIA GROUP, INC.</x:v>
      </x:c>
      <x:c r="C32" s="3" t="str">
        <x:v>2024-01-01~2024-12-31</x:v>
      </x:c>
      <x:c r="D32" s="3" t="str">
        <x:v>USD  thousand</x:v>
      </x:c>
      <x:c r="E32" s="12" t="n">
        <x:f>0.001</x:f>
        <x:v>0.001</x:v>
      </x:c>
      <x:c r="F32" s="12" t="n">
        <x:f>'原始數據'!P32</x:f>
        <x:v>2221000</x:v>
      </x:c>
      <x:c r="G32" s="12" t="n">
        <x:f>'原始數據'!Q32</x:f>
        <x:v>3186000</x:v>
      </x:c>
      <x:c r="H32" s="12" t="n">
        <x:f>'原始數據'!R32</x:f>
        <x:v>1918000</x:v>
      </x:c>
      <x:c r="I32" s="12" t="n">
        <x:f>'原始數據'!T32</x:f>
        <x:v>444000</x:v>
      </x:c>
      <x:c r="J32" s="13" t="n">
        <x:f>'原始數據'!W32</x:f>
        <x:v>1.4968000000000001</x:v>
      </x:c>
      <x:c r="K32" s="13" t="n">
        <x:f>'原始數據'!X32</x:f>
        <x:v>4.0564</x:v>
      </x:c>
      <x:c r="L32" s="12" t="n">
        <x:f>SUM('原始數據'!K32,'原始數據'!L32,'原始數據'!M32,'原始數據'!N32)</x:f>
        <x:v>6523000</x:v>
      </x:c>
      <x:c r="M32" s="12" t="n">
        <x:f>'原始數據'!U32+'原始數據'!T32+'原始數據'!V32</x:f>
        <x:v>2211000</x:v>
      </x:c>
      <x:c r="N32" s="12" t="n">
        <x:f>'原始數據'!S32+'原始數據'!V32</x:f>
        <x:v>2076000</x:v>
      </x:c>
      <x:c r="O32" s="12" t="n">
        <x:f>M32-N32</x:f>
        <x:v>135000</x:v>
      </x:c>
      <x:c r="P32" s="12" t="n">
        <x:f>M32</x:f>
        <x:v>2211000</x:v>
      </x:c>
      <x:c r="Q32" s="14" t="n">
        <x:f>IF(ISNUMBER(P32),IF(P32&gt;0,L32/P32,"不具意義"),"資料不足")</x:f>
        <x:v>2.9502487562189055</x:v>
      </x:c>
      <x:c r="R32" s="12" t="str">
        <x:v>全年=最近12月</x:v>
      </x:c>
      <x:c r="S32" s="15" t="n">
        <x:f>'原始數據'!O32-F32-G32</x:f>
        <x:v>0</x:v>
      </x:c>
      <x:c r="T32" s="15" t="n">
        <x:f>G32-'原始數據'!S32-H32</x:f>
        <x:v>0</x:v>
      </x:c>
      <x:c r="U32" s="15" t="n">
        <x:f>SUM('原始數據'!G32,'原始數據'!H32,'原始數據'!I32)/'原始數據'!J32-J32</x:f>
        <x:v>0.000007151979565689359</x:v>
      </x:c>
      <x:c r="V32" s="15" t="n">
        <x:f>'原始數據'!AA32/'原始數據'!AB32-K32</x:f>
        <x:v>0.00003738977072309524</x:v>
      </x:c>
      <x:c r="W32" s="15" t="n">
        <x:f>M32/I32-'原始數據'!Y32</x:f>
        <x:v>-0.0002702702702706006</x:v>
      </x:c>
    </x:row>
    <x:row r="33" ht="25" customHeight="1">
      <x:c r="A33" s="3" t="n">
        <x:v>28</x:v>
      </x:c>
      <x:c r="B33" s="3" t="str">
        <x:v>NEXSTAR MEDIA GROUP, INC.</x:v>
      </x:c>
      <x:c r="C33" s="3" t="str">
        <x:v>2025-01-01~2025-12-31</x:v>
      </x:c>
      <x:c r="D33" s="3" t="str">
        <x:v>USD  thousand</x:v>
      </x:c>
      <x:c r="E33" s="12" t="n">
        <x:f>0.001</x:f>
        <x:v>0.001</x:v>
      </x:c>
      <x:c r="F33" s="12" t="n">
        <x:f>'原始數據'!P33</x:f>
        <x:v>2235000</x:v>
      </x:c>
      <x:c r="G33" s="12" t="n">
        <x:f>'原始數據'!Q33</x:f>
        <x:v>2714000</x:v>
      </x:c>
      <x:c r="H33" s="12" t="n">
        <x:f>'原始數據'!R33</x:f>
        <x:v>1865000</x:v>
      </x:c>
      <x:c r="I33" s="12" t="n">
        <x:f>'原始數據'!T33</x:f>
        <x:v>379000</x:v>
      </x:c>
      <x:c r="J33" s="13" t="n">
        <x:f>'原始數據'!W33</x:f>
        <x:v>1.9058000000000002</x:v>
      </x:c>
      <x:c r="K33" s="13" t="n">
        <x:f>'原始數據'!X33</x:f>
        <x:v>4.2599</x:v>
      </x:c>
      <x:c r="L33" s="12" t="n">
        <x:f>SUM('原始數據'!K33,'原始數據'!L33,'原始數據'!M33,'原始數據'!N33)</x:f>
        <x:v>6333000</x:v>
      </x:c>
      <x:c r="M33" s="12" t="n">
        <x:f>'原始數據'!U33+'原始數據'!T33+'原始數據'!V33</x:f>
        <x:v>1314000</x:v>
      </x:c>
      <x:c r="N33" s="12" t="n">
        <x:f>'原始數據'!S33+'原始數據'!V33</x:f>
        <x:v>1634000</x:v>
      </x:c>
      <x:c r="O33" s="12" t="n">
        <x:f>M33-N33</x:f>
        <x:v>-320000</x:v>
      </x:c>
      <x:c r="P33" s="12" t="n">
        <x:f>M33</x:f>
        <x:v>1314000</x:v>
      </x:c>
      <x:c r="Q33" s="14" t="n">
        <x:f>IF(ISNUMBER(P33),IF(P33&gt;0,L33/P33,"不具意義"),"資料不足")</x:f>
        <x:v>4.819634703196347</x:v>
      </x:c>
      <x:c r="R33" s="12" t="str">
        <x:v>全年=最近12月</x:v>
      </x:c>
      <x:c r="S33" s="15" t="n">
        <x:f>'原始數據'!O33-F33-G33</x:f>
        <x:v>0</x:v>
      </x:c>
      <x:c r="T33" s="15" t="n">
        <x:f>G33-'原始數據'!S33-H33</x:f>
        <x:v>0</x:v>
      </x:c>
      <x:c r="U33" s="15" t="n">
        <x:f>SUM('原始數據'!G33,'原始數據'!H33,'原始數據'!I33)/'原始數據'!J33-J33</x:f>
        <x:v>-0.000033473980309617346</x:v>
      </x:c>
      <x:c r="V33" s="15" t="n">
        <x:f>'原始數據'!AA33/'原始數據'!AB33-K33</x:f>
        <x:v>0.000041804073714679646</x:v>
      </x:c>
      <x:c r="W33" s="15" t="n">
        <x:f>M33/I33-'原始數據'!Y33</x:f>
        <x:v>-0.0029815303430082984</x:v>
      </x:c>
    </x:row>
    <x:row r="34" ht="25" customHeight="1">
      <x:c r="A34" s="3" t="n">
        <x:v>29</x:v>
      </x:c>
      <x:c r="B34" s="3" t="str">
        <x:v>XPO, INC.</x:v>
      </x:c>
      <x:c r="C34" s="3" t="str">
        <x:v>2022-01-01~2022-12-31</x:v>
      </x:c>
      <x:c r="D34" s="3" t="str">
        <x:v>USD  million</x:v>
      </x:c>
      <x:c r="E34" s="12" t="n">
        <x:f>1</x:f>
        <x:v>1</x:v>
      </x:c>
      <x:c r="F34" s="12" t="n">
        <x:f>'原始數據'!P34</x:f>
        <x:v>4043</x:v>
      </x:c>
      <x:c r="G34" s="12" t="n">
        <x:f>'原始數據'!Q34</x:f>
        <x:v>3675</x:v>
      </x:c>
      <x:c r="H34" s="12" t="n">
        <x:f>'原始數據'!R34</x:f>
        <x:v>3358</x:v>
      </x:c>
      <x:c r="I34" s="12" t="n">
        <x:f>'原始數據'!T34</x:f>
        <x:v>135</x:v>
      </x:c>
      <x:c r="J34" s="13" t="n">
        <x:f>'原始數據'!W34</x:f>
        <x:v>0.9383</x:v>
      </x:c>
      <x:c r="K34" s="13" t="n">
        <x:f>'原始數據'!X34</x:f>
        <x:v>5.1947</x:v>
      </x:c>
      <x:c r="L34" s="12" t="n">
        <x:f>SUM('原始數據'!K34,'原始數據'!L34,'原始數據'!M34,'原始數據'!N34)</x:f>
        <x:v>2368</x:v>
      </x:c>
      <x:c r="M34" s="12" t="n">
        <x:f>'原始數據'!U34+'原始數據'!T34+'原始數據'!V34</x:f>
        <x:v>785</x:v>
      </x:c>
      <x:c r="N34" s="12" t="n">
        <x:f>'原始數據'!S34+'原始數據'!V34</x:f>
        <x:v>709</x:v>
      </x:c>
      <x:c r="O34" s="12" t="n">
        <x:f>M34-N34</x:f>
        <x:v>76</x:v>
      </x:c>
      <x:c r="P34" s="12" t="n">
        <x:f>M34</x:f>
        <x:v>785</x:v>
      </x:c>
      <x:c r="Q34" s="14" t="n">
        <x:f>IF(ISNUMBER(P34),IF(P34&gt;0,L34/P34,"不具意義"),"資料不足")</x:f>
        <x:v>3.0165605095541403</x:v>
      </x:c>
      <x:c r="R34" s="12" t="str">
        <x:v>全年=最近12月</x:v>
      </x:c>
      <x:c r="S34" s="15" t="n">
        <x:f>'原始數據'!O34-F34-G34</x:f>
        <x:v>0</x:v>
      </x:c>
      <x:c r="T34" s="15" t="n">
        <x:f>G34-'原始數據'!S34-H34</x:f>
        <x:v>0</x:v>
      </x:c>
      <x:c r="U34" s="15" t="n">
        <x:f>SUM('原始數據'!G34,'原始數據'!H34,'原始數據'!I34)/'原始數據'!J34-J34</x:f>
        <x:v>-0.000012010617120084</x:v>
      </x:c>
      <x:c r="V34" s="15" t="n">
        <x:f>'原始數據'!AA34/'原始數據'!AB34-K34</x:f>
        <x:v>-0.000035968379446416066</x:v>
      </x:c>
      <x:c r="W34" s="15" t="n">
        <x:f>M34/I34-'原始數據'!Y34</x:f>
        <x:v>0.004814814814815271</x:v>
      </x:c>
    </x:row>
    <x:row r="35" ht="25" customHeight="1">
      <x:c r="A35" s="3" t="n">
        <x:v>30</x:v>
      </x:c>
      <x:c r="B35" s="3" t="str">
        <x:v>XPO, INC.</x:v>
      </x:c>
      <x:c r="C35" s="3" t="str">
        <x:v>2023-01-01~2023-12-31</x:v>
      </x:c>
      <x:c r="D35" s="3" t="str">
        <x:v>USD  million</x:v>
      </x:c>
      <x:c r="E35" s="12" t="n">
        <x:f>1</x:f>
        <x:v>1</x:v>
      </x:c>
      <x:c r="F35" s="12" t="n">
        <x:f>'原始數據'!P35</x:f>
        <x:v>3815</x:v>
      </x:c>
      <x:c r="G35" s="12" t="n">
        <x:f>'原始數據'!Q35</x:f>
        <x:v>3929</x:v>
      </x:c>
      <x:c r="H35" s="12" t="n">
        <x:f>'原始數據'!R35</x:f>
        <x:v>3491</x:v>
      </x:c>
      <x:c r="I35" s="12" t="n">
        <x:f>'原始數據'!T35</x:f>
        <x:v>168</x:v>
      </x:c>
      <x:c r="J35" s="13" t="n">
        <x:f>'原始數據'!W35</x:f>
        <x:v>0.8711</x:v>
      </x:c>
      <x:c r="K35" s="13" t="n">
        <x:f>'原始數據'!X35</x:f>
        <x:v>4.9179</x:v>
      </x:c>
      <x:c r="L35" s="12" t="n">
        <x:f>SUM('原始數據'!K35,'原始數據'!L35,'原始數據'!M35,'原始數據'!N35)</x:f>
        <x:v>3150</x:v>
      </x:c>
      <x:c r="M35" s="12" t="n">
        <x:f>'原始數據'!U35+'原始數據'!T35+'原始數據'!V35</x:f>
        <x:v>860</x:v>
      </x:c>
      <x:c r="N35" s="12" t="n">
        <x:f>'原始數據'!S35+'原始數據'!V35</x:f>
        <x:v>870</x:v>
      </x:c>
      <x:c r="O35" s="12" t="n">
        <x:f>M35-N35</x:f>
        <x:v>-10</x:v>
      </x:c>
      <x:c r="P35" s="12" t="n">
        <x:f>M35</x:f>
        <x:v>860</x:v>
      </x:c>
      <x:c r="Q35" s="14" t="n">
        <x:f>IF(ISNUMBER(P35),IF(P35&gt;0,L35/P35,"不具意義"),"資料不足")</x:f>
        <x:v>3.6627906976744184</x:v>
      </x:c>
      <x:c r="R35" s="12" t="str">
        <x:v>全年=最近12月</x:v>
      </x:c>
      <x:c r="S35" s="15" t="n">
        <x:f>'原始數據'!O35-F35-G35</x:f>
        <x:v>0</x:v>
      </x:c>
      <x:c r="T35" s="15" t="n">
        <x:f>G35-'原始數據'!S35-H35</x:f>
        <x:v>0</x:v>
      </x:c>
      <x:c r="U35" s="15" t="n">
        <x:f>SUM('原始數據'!G35,'原始數據'!H35,'原始數據'!I35)/'原始數據'!J35-J35</x:f>
        <x:v>-0.00003081761006284989</x:v>
      </x:c>
      <x:c r="V35" s="15" t="n">
        <x:f>'原始數據'!AA35/'原始數據'!AB35-K35</x:f>
        <x:v>-0.00004849921011107483</x:v>
      </x:c>
      <x:c r="W35" s="15" t="n">
        <x:f>M35/I35-'原始數據'!Y35</x:f>
        <x:v>-0.0009523809523814819</x:v>
      </x:c>
    </x:row>
    <x:row r="36" ht="25" customHeight="1">
      <x:c r="A36" s="3" t="n">
        <x:v>31</x:v>
      </x:c>
      <x:c r="B36" s="3" t="str">
        <x:v>XPO, INC.</x:v>
      </x:c>
      <x:c r="C36" s="3" t="str">
        <x:v>2024-01-01~2024-12-31</x:v>
      </x:c>
      <x:c r="D36" s="3" t="str">
        <x:v>USD  million</x:v>
      </x:c>
      <x:c r="E36" s="12" t="n">
        <x:f>1</x:f>
        <x:v>1</x:v>
      </x:c>
      <x:c r="F36" s="12" t="n">
        <x:f>'原始數據'!P36</x:f>
        <x:v>3780</x:v>
      </x:c>
      <x:c r="G36" s="12" t="n">
        <x:f>'原始數據'!Q36</x:f>
        <x:v>4292</x:v>
      </x:c>
      <x:c r="H36" s="12" t="n">
        <x:f>'原始數據'!R36</x:f>
        <x:v>3633</x:v>
      </x:c>
      <x:c r="I36" s="12" t="n">
        <x:f>'原始數據'!T36</x:f>
        <x:v>223</x:v>
      </x:c>
      <x:c r="J36" s="13" t="n">
        <x:f>'原始數據'!W36</x:f>
        <x:v>0.8613</x:v>
      </x:c>
      <x:c r="K36" s="13" t="n">
        <x:f>'原始數據'!X36</x:f>
        <x:v>3.82</x:v>
      </x:c>
      <x:c r="L36" s="12" t="n">
        <x:f>SUM('原始數據'!K36,'原始數據'!L36,'原始數據'!M36,'原始數據'!N36)</x:f>
        <x:v>3158</x:v>
      </x:c>
      <x:c r="M36" s="12" t="n">
        <x:f>'原始數據'!U36+'原始數據'!T36+'原始數據'!V36</x:f>
        <x:v>1186</x:v>
      </x:c>
      <x:c r="N36" s="12" t="n">
        <x:f>'原始數據'!S36+'原始數據'!V36</x:f>
        <x:v>1149</x:v>
      </x:c>
      <x:c r="O36" s="12" t="n">
        <x:f>M36-N36</x:f>
        <x:v>37</x:v>
      </x:c>
      <x:c r="P36" s="12" t="n">
        <x:f>M36</x:f>
        <x:v>1186</x:v>
      </x:c>
      <x:c r="Q36" s="14" t="n">
        <x:f>IF(ISNUMBER(P36),IF(P36&gt;0,L36/P36,"不具意義"),"資料不足")</x:f>
        <x:v>2.6627318718381114</x:v>
      </x:c>
      <x:c r="R36" s="12" t="str">
        <x:v>全年=最近12月</x:v>
      </x:c>
      <x:c r="S36" s="15" t="n">
        <x:f>'原始數據'!O36-F36-G36</x:f>
        <x:v>0</x:v>
      </x:c>
      <x:c r="T36" s="15" t="n">
        <x:f>G36-'原始數據'!S36-H36</x:f>
        <x:v>0</x:v>
      </x:c>
      <x:c r="U36" s="15" t="n">
        <x:f>SUM('原始數據'!G36,'原始數據'!H36,'原始數據'!I36)/'原始數據'!J36-J36</x:f>
        <x:v>-0.00003239436619717484</x:v>
      </x:c>
      <x:c r="V36" s="15" t="n">
        <x:f>'原始數據'!AA36/'原始數據'!AB36-K36</x:f>
        <x:v>0</x:v>
      </x:c>
      <x:c r="W36" s="15" t="n">
        <x:f>M36/I36-'原始數據'!Y36</x:f>
        <x:v>-0.0016143497757852288</x:v>
      </x:c>
    </x:row>
    <x:row r="37" ht="25" customHeight="1">
      <x:c r="A37" s="3" t="n">
        <x:v>32</x:v>
      </x:c>
      <x:c r="B37" s="3" t="str">
        <x:v>XPO, INC.</x:v>
      </x:c>
      <x:c r="C37" s="3" t="str">
        <x:v>2025-01-01~2025-12-31</x:v>
      </x:c>
      <x:c r="D37" s="3" t="str">
        <x:v>USD  million</x:v>
      </x:c>
      <x:c r="E37" s="12" t="n">
        <x:f>1</x:f>
        <x:v>1</x:v>
      </x:c>
      <x:c r="F37" s="12" t="n">
        <x:f>'原始數據'!P37</x:f>
        <x:v>3754</x:v>
      </x:c>
      <x:c r="G37" s="12" t="n">
        <x:f>'原始數據'!Q37</x:f>
        <x:v>4403</x:v>
      </x:c>
      <x:c r="H37" s="12" t="n">
        <x:f>'原始數據'!R37</x:f>
        <x:v>3747</x:v>
      </x:c>
      <x:c r="I37" s="12" t="n">
        <x:f>'原始數據'!T37</x:f>
        <x:v>219</x:v>
      </x:c>
      <x:c r="J37" s="13" t="n">
        <x:f>'原始數據'!W37</x:f>
        <x:v>0.865</x:v>
      </x:c>
      <x:c r="K37" s="13" t="n">
        <x:f>'原始數據'!X37</x:f>
        <x:v>3.403</x:v>
      </x:c>
      <x:c r="L37" s="12" t="n">
        <x:f>SUM('原始數據'!K37,'原始數據'!L37,'原始數據'!M37,'原始數據'!N37)</x:f>
        <x:v>3056</x:v>
      </x:c>
      <x:c r="M37" s="12" t="n">
        <x:f>'原始數據'!U37+'原始數據'!T37+'原始數據'!V37</x:f>
        <x:v>1177</x:v>
      </x:c>
      <x:c r="N37" s="12" t="n">
        <x:f>'原始數據'!S37+'原始數據'!V37</x:f>
        <x:v>1177</x:v>
      </x:c>
      <x:c r="O37" s="12" t="n">
        <x:f>M37-N37</x:f>
        <x:v>0</x:v>
      </x:c>
      <x:c r="P37" s="12" t="n">
        <x:f>M37</x:f>
        <x:v>1177</x:v>
      </x:c>
      <x:c r="Q37" s="14" t="n">
        <x:f>IF(ISNUMBER(P37),IF(P37&gt;0,L37/P37,"不具意義"),"資料不足")</x:f>
        <x:v>2.5964316057774</x:v>
      </x:c>
      <x:c r="R37" s="12" t="str">
        <x:v>全年=最近12月</x:v>
      </x:c>
      <x:c r="S37" s="15" t="n">
        <x:f>'原始數據'!O37-F37-G37</x:f>
        <x:v>0</x:v>
      </x:c>
      <x:c r="T37" s="15" t="n">
        <x:f>G37-'原始數據'!S37-H37</x:f>
        <x:v>0</x:v>
      </x:c>
      <x:c r="U37" s="15" t="n">
        <x:f>SUM('原始數據'!G37,'原始數據'!H37,'原始數據'!I37)/'原始數據'!J37-J37</x:f>
        <x:v>-0.000048231511253993276</x:v>
      </x:c>
      <x:c r="V37" s="15" t="n">
        <x:f>'原始數據'!AA37/'原始數據'!AB37-K37</x:f>
        <x:v>0.000009134873723670722</x:v>
      </x:c>
      <x:c r="W37" s="15" t="n">
        <x:f>M37/I37-'原始數據'!Y37</x:f>
        <x:v>0.004429223744292443</x:v>
      </x:c>
    </x:row>
    <x:row r="38" ht="25" customHeight="1">
      <x:c r="A38" s="3" t="n">
        <x:v>33</x:v>
      </x:c>
      <x:c r="B38" s="3" t="str">
        <x:v>CROCS, INC.</x:v>
      </x:c>
      <x:c r="C38" s="3" t="str">
        <x:v>2022-01-01~2022-12-31</x:v>
      </x:c>
      <x:c r="D38" s="3" t="str">
        <x:v>USD  thousand</x:v>
      </x:c>
      <x:c r="E38" s="12" t="n">
        <x:f>0.001</x:f>
        <x:v>0.001</x:v>
      </x:c>
      <x:c r="F38" s="12" t="n">
        <x:f>'原始數據'!P38</x:f>
        <x:v>1694703</x:v>
      </x:c>
      <x:c r="G38" s="12" t="n">
        <x:f>'原始數據'!Q38</x:f>
        <x:v>1860282</x:v>
      </x:c>
      <x:c r="H38" s="12" t="n">
        <x:f>'原始數據'!R38</x:f>
        <x:v>1009526</x:v>
      </x:c>
      <x:c r="I38" s="12" t="n">
        <x:f>'原始數據'!T38</x:f>
        <x:v>136158</x:v>
      </x:c>
      <x:c r="J38" s="13" t="n">
        <x:f>'原始數據'!W38</x:f>
        <x:v>0.7598</x:v>
      </x:c>
      <x:c r="K38" s="13" t="n">
        <x:f>'原始數據'!X38</x:f>
        <x:v>4.5039</x:v>
      </x:c>
      <x:c r="L38" s="12" t="n">
        <x:f>SUM('原始數據'!K38,'原始數據'!L38,'原始數據'!M38,'原始數據'!N38)</x:f>
        <x:v>2322389</x:v>
      </x:c>
      <x:c r="M38" s="12" t="n">
        <x:f>'原始數據'!U38+'原始數據'!T38+'原始數據'!V38</x:f>
        <x:v>893895</x:v>
      </x:c>
      <x:c r="N38" s="12" t="n">
        <x:f>'原始數據'!S38+'原始數據'!V38</x:f>
        <x:v>889985</x:v>
      </x:c>
      <x:c r="O38" s="12" t="n">
        <x:f>M38-N38</x:f>
        <x:v>3910</x:v>
      </x:c>
      <x:c r="P38" s="12" t="n">
        <x:f>M38</x:f>
        <x:v>893895</x:v>
      </x:c>
      <x:c r="Q38" s="14" t="n">
        <x:f>IF(ISNUMBER(P38),IF(P38&gt;0,L38/P38,"不具意義"),"資料不足")</x:f>
        <x:v>2.598055700054257</x:v>
      </x:c>
      <x:c r="R38" s="12" t="str">
        <x:v>全年=最近12月</x:v>
      </x:c>
      <x:c r="S38" s="15" t="n">
        <x:f>'原始數據'!O38-F38-G38</x:f>
        <x:v>0</x:v>
      </x:c>
      <x:c r="T38" s="15" t="n">
        <x:f>G38-'原始數據'!S38-H38</x:f>
        <x:v>0</x:v>
      </x:c>
      <x:c r="U38" s="15" t="n">
        <x:f>SUM('原始數據'!G38,'原始數據'!H38,'原始數據'!I38)/'原始數據'!J38-J38</x:f>
        <x:v>-0.000026486650012369495</x:v>
      </x:c>
      <x:c r="V38" s="15" t="n">
        <x:f>'原始數據'!AA38/'原始數據'!AB38-K38</x:f>
        <x:v>-0.00001642057826334309</x:v>
      </x:c>
      <x:c r="W38" s="15" t="n">
        <x:f>M38/I38-'原始數據'!Y38</x:f>
        <x:v>-0.004869783633719926</x:v>
      </x:c>
    </x:row>
    <x:row r="39" ht="25" customHeight="1">
      <x:c r="A39" s="3" t="n">
        <x:v>34</x:v>
      </x:c>
      <x:c r="B39" s="3" t="str">
        <x:v>CROCS, INC.</x:v>
      </x:c>
      <x:c r="C39" s="3" t="str">
        <x:v>2023-01-01~2023-12-31</x:v>
      </x:c>
      <x:c r="D39" s="3" t="str">
        <x:v>USD  thousand</x:v>
      </x:c>
      <x:c r="E39" s="12" t="n">
        <x:f>0.001</x:f>
        <x:v>0.001</x:v>
      </x:c>
      <x:c r="F39" s="12" t="n">
        <x:f>'原始數據'!P39</x:f>
        <x:v>1752337</x:v>
      </x:c>
      <x:c r="G39" s="12" t="n">
        <x:f>'原始數據'!Q39</x:f>
        <x:v>2210010</x:v>
      </x:c>
      <x:c r="H39" s="12" t="n">
        <x:f>'原始數據'!R39</x:f>
        <x:v>1173227</x:v>
      </x:c>
      <x:c r="I39" s="12" t="n">
        <x:f>'原始數據'!T39</x:f>
        <x:v>161351</x:v>
      </x:c>
      <x:c r="J39" s="13" t="n">
        <x:f>'原始數據'!W39</x:f>
        <x:v>0.6516</x:v>
      </x:c>
      <x:c r="K39" s="13" t="n">
        <x:f>'原始數據'!X39</x:f>
        <x:v>2.194</x:v>
      </x:c>
      <x:c r="L39" s="12" t="n">
        <x:f>SUM('原始數據'!K39,'原始數據'!L39,'原始數據'!M39,'原始數據'!N39)</x:f>
        <x:v>1664324</x:v>
      </x:c>
      <x:c r="M39" s="12" t="n">
        <x:f>'原始數據'!U39+'原始數據'!T39+'原始數據'!V39</x:f>
        <x:v>1091927</x:v>
      </x:c>
      <x:c r="N39" s="12" t="n">
        <x:f>'原始數據'!S39+'原始數據'!V39</x:f>
        <x:v>1091087</x:v>
      </x:c>
      <x:c r="O39" s="12" t="n">
        <x:f>M39-N39</x:f>
        <x:v>840</x:v>
      </x:c>
      <x:c r="P39" s="12" t="n">
        <x:f>M39</x:f>
        <x:v>1091927</x:v>
      </x:c>
      <x:c r="Q39" s="14" t="n">
        <x:f>IF(ISNUMBER(P39),IF(P39&gt;0,L39/P39,"不具意義"),"資料不足")</x:f>
        <x:v>1.5242081201398994</x:v>
      </x:c>
      <x:c r="R39" s="12" t="str">
        <x:v>全年=最近12月</x:v>
      </x:c>
      <x:c r="S39" s="15" t="n">
        <x:f>'原始數據'!O39-F39-G39</x:f>
        <x:v>0</x:v>
      </x:c>
      <x:c r="T39" s="15" t="n">
        <x:f>G39-'原始數據'!S39-H39</x:f>
        <x:v>0</x:v>
      </x:c>
      <x:c r="U39" s="15" t="n">
        <x:f>SUM('原始數據'!G39,'原始數據'!H39,'原始數據'!I39)/'原始數據'!J39-J39</x:f>
        <x:v>0.00003626886019691966</x:v>
      </x:c>
      <x:c r="V39" s="15" t="n">
        <x:f>'原始數據'!AA39/'原始數據'!AB39-K39</x:f>
        <x:v>0.0000027085340832400107</x:v>
      </x:c>
      <x:c r="W39" s="15" t="n">
        <x:f>M39/I39-'原始數據'!Y39</x:f>
        <x:v>-0.002598496445636478</x:v>
      </x:c>
    </x:row>
    <x:row r="40" ht="25" customHeight="1">
      <x:c r="A40" s="3" t="n">
        <x:v>35</x:v>
      </x:c>
      <x:c r="B40" s="3" t="str">
        <x:v>CROCS, INC.</x:v>
      </x:c>
      <x:c r="C40" s="3" t="str">
        <x:v>2024-01-01~2024-12-31</x:v>
      </x:c>
      <x:c r="D40" s="3" t="str">
        <x:v>USD  thousand</x:v>
      </x:c>
      <x:c r="E40" s="12" t="n">
        <x:f>0.001</x:f>
        <x:v>0.001</x:v>
      </x:c>
      <x:c r="F40" s="12" t="n">
        <x:f>'原始數據'!P40</x:f>
        <x:v>1691850</x:v>
      </x:c>
      <x:c r="G40" s="12" t="n">
        <x:f>'原始數據'!Q40</x:f>
        <x:v>2410258</x:v>
      </x:c>
      <x:c r="H40" s="12" t="n">
        <x:f>'原始數據'!R40</x:f>
        <x:v>1388347</x:v>
      </x:c>
      <x:c r="I40" s="12" t="n">
        <x:f>'原始數據'!T40</x:f>
        <x:v>109264</x:v>
      </x:c>
      <x:c r="J40" s="13" t="n">
        <x:f>'原始數據'!W40</x:f>
        <x:v>0.5919</x:v>
      </x:c>
      <x:c r="K40" s="13" t="n">
        <x:f>'原始數據'!X40</x:f>
        <x:v>1.6214</x:v>
      </x:c>
      <x:c r="L40" s="12" t="n">
        <x:f>SUM('原始數據'!K40,'原始數據'!L40,'原始數據'!M40,'原始數據'!N40)</x:f>
        <x:v>1349339</x:v>
      </x:c>
      <x:c r="M40" s="12" t="n">
        <x:f>'原始數據'!U40+'原始數據'!T40+'原始數據'!V40</x:f>
        <x:v>1089689</x:v>
      </x:c>
      <x:c r="N40" s="12" t="n">
        <x:f>'原始數據'!S40+'原始數據'!V40</x:f>
        <x:v>1091751</x:v>
      </x:c>
      <x:c r="O40" s="12" t="n">
        <x:f>M40-N40</x:f>
        <x:v>-2062</x:v>
      </x:c>
      <x:c r="P40" s="12" t="n">
        <x:f>M40</x:f>
        <x:v>1089689</x:v>
      </x:c>
      <x:c r="Q40" s="14" t="n">
        <x:f>IF(ISNUMBER(P40),IF(P40&gt;0,L40/P40,"不具意義"),"資料不足")</x:f>
        <x:v>1.2382789951995479</x:v>
      </x:c>
      <x:c r="R40" s="12" t="str">
        <x:v>全年=最近12月</x:v>
      </x:c>
      <x:c r="S40" s="15" t="n">
        <x:f>'原始數據'!O40-F40-G40</x:f>
        <x:v>0</x:v>
      </x:c>
      <x:c r="T40" s="15" t="n">
        <x:f>G40-'原始數據'!S40-H40</x:f>
        <x:v>0</x:v>
      </x:c>
      <x:c r="U40" s="15" t="n">
        <x:f>SUM('原始數據'!G40,'原始數據'!H40,'原始數據'!I40)/'原始數據'!J40-J40</x:f>
        <x:v>0.00001740699911378929</x:v>
      </x:c>
      <x:c r="V40" s="15" t="n">
        <x:f>'原始數據'!AA40/'原始數據'!AB40-K40</x:f>
        <x:v>-0.000018992314782195763</x:v>
      </x:c>
      <x:c r="W40" s="15" t="n">
        <x:f>M40/I40-'原始數據'!Y40</x:f>
        <x:v>0.00299201932933002</x:v>
      </x:c>
    </x:row>
    <x:row r="41" ht="25" customHeight="1">
      <x:c r="A41" s="3" t="n">
        <x:v>36</x:v>
      </x:c>
      <x:c r="B41" s="3" t="str">
        <x:v>CROCS, INC.</x:v>
      </x:c>
      <x:c r="C41" s="3" t="str">
        <x:v>2025-01-01~2025-12-31</x:v>
      </x:c>
      <x:c r="D41" s="3" t="str">
        <x:v>USD  thousand</x:v>
      </x:c>
      <x:c r="E41" s="12" t="n">
        <x:f>0.001</x:f>
        <x:v>0.001</x:v>
      </x:c>
      <x:c r="F41" s="12" t="n">
        <x:f>'原始數據'!P41</x:f>
        <x:v>1683592</x:v>
      </x:c>
      <x:c r="G41" s="12" t="n">
        <x:f>'原始數據'!Q41</x:f>
        <x:v>2357055</x:v>
      </x:c>
      <x:c r="H41" s="12" t="n">
        <x:f>'原始數據'!R41</x:f>
        <x:v>2207540</x:v>
      </x:c>
      <x:c r="I41" s="12" t="n">
        <x:f>'原始數據'!T41</x:f>
        <x:v>88287</x:v>
      </x:c>
      <x:c r="J41" s="13" t="n">
        <x:f>'原始數據'!W41</x:f>
        <x:v>0.5835</x:v>
      </x:c>
      <x:c r="K41" s="13" t="n">
        <x:f>'原始數據'!X41</x:f>
        <x:v>2.228</x:v>
      </x:c>
      <x:c r="L41" s="12" t="n">
        <x:f>SUM('原始數據'!K41,'原始數據'!L41,'原始數據'!M41,'原始數據'!N41)</x:f>
        <x:v>1230885</x:v>
      </x:c>
      <x:c r="M41" s="12" t="n">
        <x:f>'原始數據'!U41+'原始數據'!T41+'原始數據'!V41</x:f>
        <x:v>240547</x:v>
      </x:c>
      <x:c r="N41" s="12" t="n">
        <x:f>'原始數據'!S41+'原始數據'!V41</x:f>
        <x:v>228797</x:v>
      </x:c>
      <x:c r="O41" s="12" t="n">
        <x:f>M41-N41</x:f>
        <x:v>11750</x:v>
      </x:c>
      <x:c r="P41" s="12" t="n">
        <x:f>M41</x:f>
        <x:v>240547</x:v>
      </x:c>
      <x:c r="Q41" s="14" t="n">
        <x:f>IF(ISNUMBER(P41),IF(P41&gt;0,L41/P41,"不具意義"),"資料不足")</x:f>
        <x:v>5.117024947307595</x:v>
      </x:c>
      <x:c r="R41" s="12" t="str">
        <x:v>全年=最近12月</x:v>
      </x:c>
      <x:c r="S41" s="15" t="n">
        <x:f>'原始數據'!O41-F41-G41</x:f>
        <x:v>0</x:v>
      </x:c>
      <x:c r="T41" s="15" t="n">
        <x:f>G41-'原始數據'!S41-H41</x:f>
        <x:v>0</x:v>
      </x:c>
      <x:c r="U41" s="15" t="n">
        <x:f>SUM('原始數據'!G41,'原始數據'!H41,'原始數據'!I41)/'原始數據'!J41-J41</x:f>
        <x:v>0.000028178378555954176</x:v>
      </x:c>
      <x:c r="V41" s="15" t="n">
        <x:f>'原始數據'!AA41/'原始數據'!AB41-K41</x:f>
        <x:v>0.00002511128654747452</x:v>
      </x:c>
      <x:c r="W41" s="15" t="n">
        <x:f>M41/I41-'原始數據'!Y41</x:f>
        <x:v>0.004602716141674179</x:v>
      </x:c>
    </x:row>
    <x:row r="42" ht="25" customHeight="1">
      <x:c r="A42" s="3" t="n">
        <x:v>37</x:v>
      </x:c>
      <x:c r="B42" s="3" t="str">
        <x:v>INSULET CORPORATION</x:v>
      </x:c>
      <x:c r="C42" s="3" t="str">
        <x:v>2022-01-01~2022-12-31</x:v>
      </x:c>
      <x:c r="D42" s="3" t="str">
        <x:v>USD  million</x:v>
      </x:c>
      <x:c r="E42" s="12" t="n">
        <x:f>1</x:f>
        <x:v>1</x:v>
      </x:c>
      <x:c r="F42" s="12" t="n">
        <x:f>'原始數據'!P42</x:f>
        <x:v>500</x:v>
      </x:c>
      <x:c r="G42" s="12" t="n">
        <x:f>'原始數據'!Q42</x:f>
        <x:v>805</x:v>
      </x:c>
      <x:c r="H42" s="12" t="n">
        <x:f>'原始數據'!R42</x:f>
        <x:v>768</x:v>
      </x:c>
      <x:c r="I42" s="12" t="n">
        <x:f>'原始數據'!T42</x:f>
        <x:v>36</x:v>
      </x:c>
      <x:c r="J42" s="13" t="n">
        <x:f>'原始數據'!W42</x:f>
        <x:v>2.411</x:v>
      </x:c>
      <x:c r="K42" s="13" t="n">
        <x:f>'原始數據'!X42</x:f>
        <x:v>3.7212</x:v>
      </x:c>
      <x:c r="L42" s="12" t="n">
        <x:f>SUM('原始數據'!K42,'原始數據'!L42,'原始數據'!M42,'原始數據'!N42)</x:f>
        <x:v>1286</x:v>
      </x:c>
      <x:c r="M42" s="12" t="n">
        <x:f>'原始數據'!U42+'原始數據'!T42+'原始數據'!V42</x:f>
        <x:v>109</x:v>
      </x:c>
      <x:c r="N42" s="12" t="n">
        <x:f>'原始數據'!S42+'原始數據'!V42</x:f>
        <x:v>100</x:v>
      </x:c>
      <x:c r="O42" s="12" t="n">
        <x:f>M42-N42</x:f>
        <x:v>9</x:v>
      </x:c>
      <x:c r="P42" s="12" t="n">
        <x:f>M42</x:f>
        <x:v>109</x:v>
      </x:c>
      <x:c r="Q42" s="14" t="n">
        <x:f>IF(ISNUMBER(P42),IF(P42&gt;0,L42/P42,"不具意義"),"資料不足")</x:f>
        <x:v>11.79816513761468</x:v>
      </x:c>
      <x:c r="R42" s="12" t="str">
        <x:v>全年=最近12月</x:v>
      </x:c>
      <x:c r="S42" s="15" t="n">
        <x:f>'原始數據'!O42-F42-G42</x:f>
        <x:v>0</x:v>
      </x:c>
      <x:c r="T42" s="15" t="n">
        <x:f>G42-'原始數據'!S42-H42</x:f>
        <x:v>0</x:v>
      </x:c>
      <x:c r="U42" s="15" t="n">
        <x:f>SUM('原始數據'!G42,'原始數據'!H42,'原始數據'!I42)/'原始數據'!J42-J42</x:f>
        <x:v>-0.000041095890411124714</x:v>
      </x:c>
      <x:c r="V42" s="15" t="n">
        <x:f>'原始數據'!AA42/'原始數據'!AB42-K42</x:f>
        <x:v>-0.00002599580712780991</x:v>
      </x:c>
      <x:c r="W42" s="15" t="n">
        <x:f>M42/I42-'原始數據'!Y42</x:f>
        <x:v>-0.0022222222222221255</x:v>
      </x:c>
    </x:row>
    <x:row r="43" ht="25" customHeight="1">
      <x:c r="A43" s="3" t="n">
        <x:v>38</x:v>
      </x:c>
      <x:c r="B43" s="3" t="str">
        <x:v>INSULET CORPORATION</x:v>
      </x:c>
      <x:c r="C43" s="3" t="str">
        <x:v>2023-01-01~2023-12-31</x:v>
      </x:c>
      <x:c r="D43" s="3" t="str">
        <x:v>USD  million</x:v>
      </x:c>
      <x:c r="E43" s="12" t="n">
        <x:f>1</x:f>
        <x:v>1</x:v>
      </x:c>
      <x:c r="F43" s="12" t="n">
        <x:f>'原始數據'!P43</x:f>
        <x:v>537</x:v>
      </x:c>
      <x:c r="G43" s="12" t="n">
        <x:f>'原始數據'!Q43</x:f>
        <x:v>1160</x:v>
      </x:c>
      <x:c r="H43" s="12" t="n">
        <x:f>'原始數據'!R43</x:f>
        <x:v>940</x:v>
      </x:c>
      <x:c r="I43" s="12" t="n">
        <x:f>'原始數據'!T43</x:f>
        <x:v>36</x:v>
      </x:c>
      <x:c r="J43" s="13" t="n">
        <x:f>'原始數據'!W43</x:f>
        <x:v>2.3569999999999998</x:v>
      </x:c>
      <x:c r="K43" s="13" t="n">
        <x:f>'原始數據'!X43</x:f>
        <x:v>2.5307</x:v>
      </x:c>
      <x:c r="L43" s="12" t="n">
        <x:f>SUM('原始數據'!K43,'原始數據'!L43,'原始數據'!M43,'原始數據'!N43)</x:f>
        <x:v>1320</x:v>
      </x:c>
      <x:c r="M43" s="12" t="n">
        <x:f>'原始數據'!U43+'原始數據'!T43+'原始數據'!V43</x:f>
        <x:v>324</x:v>
      </x:c>
      <x:c r="N43" s="12" t="n">
        <x:f>'原始數據'!S43+'原始數據'!V43</x:f>
        <x:v>293</x:v>
      </x:c>
      <x:c r="O43" s="12" t="n">
        <x:f>M43-N43</x:f>
        <x:v>31</x:v>
      </x:c>
      <x:c r="P43" s="12" t="n">
        <x:f>M43</x:f>
        <x:v>324</x:v>
      </x:c>
      <x:c r="Q43" s="14" t="n">
        <x:f>IF(ISNUMBER(P43),IF(P43&gt;0,L43/P43,"不具意義"),"資料不足")</x:f>
        <x:v>4.074074074074074</x:v>
      </x:c>
      <x:c r="R43" s="12" t="str">
        <x:v>全年=最近12月</x:v>
      </x:c>
      <x:c r="S43" s="15" t="n">
        <x:f>'原始數據'!O43-F43-G43</x:f>
        <x:v>0</x:v>
      </x:c>
      <x:c r="T43" s="15" t="n">
        <x:f>G43-'原始數據'!S43-H43</x:f>
        <x:v>0</x:v>
      </x:c>
      <x:c r="U43" s="15" t="n">
        <x:f>SUM('原始數據'!G43,'原始數據'!H43,'原始數據'!I43)/'原始數據'!J43-J43</x:f>
        <x:v>-0.000015521064301360354</x:v>
      </x:c>
      <x:c r="V43" s="15" t="n">
        <x:f>'原始數據'!AA43/'原始數據'!AB43-K43</x:f>
        <x:v>-0.000004229195088800708</x:v>
      </x:c>
      <x:c r="W43" s="15" t="n">
        <x:f>M43/I43-'原始數據'!Y43</x:f>
        <x:v>0</x:v>
      </x:c>
    </x:row>
    <x:row r="44" ht="25" customHeight="1">
      <x:c r="A44" s="3" t="n">
        <x:v>39</x:v>
      </x:c>
      <x:c r="B44" s="3" t="str">
        <x:v>INSULET CORPORATION</x:v>
      </x:c>
      <x:c r="C44" s="3" t="str">
        <x:v>2024-01-01~2024-12-31</x:v>
      </x:c>
      <x:c r="D44" s="3" t="str">
        <x:v>USD  million</x:v>
      </x:c>
      <x:c r="E44" s="12" t="n">
        <x:f>1</x:f>
        <x:v>1</x:v>
      </x:c>
      <x:c r="F44" s="12" t="n">
        <x:f>'原始數據'!P44</x:f>
        <x:v>626</x:v>
      </x:c>
      <x:c r="G44" s="12" t="n">
        <x:f>'原始數據'!Q44</x:f>
        <x:v>1446</x:v>
      </x:c>
      <x:c r="H44" s="12" t="n">
        <x:f>'原始數據'!R44</x:f>
        <x:v>1137</x:v>
      </x:c>
      <x:c r="I44" s="12" t="n">
        <x:f>'原始數據'!T44</x:f>
        <x:v>43</x:v>
      </x:c>
      <x:c r="J44" s="13" t="n">
        <x:f>'原始數據'!W44</x:f>
        <x:v>2.4934</x:v>
      </x:c>
      <x:c r="K44" s="13" t="n">
        <x:f>'原始數據'!X44</x:f>
        <x:v>1.5478999999999998</x:v>
      </x:c>
      <x:c r="L44" s="12" t="n">
        <x:f>SUM('原始數據'!K44,'原始數據'!L44,'原始數據'!M44,'原始數據'!N44)</x:f>
        <x:v>1354</x:v>
      </x:c>
      <x:c r="M44" s="12" t="n">
        <x:f>'原始數據'!U44+'原始數據'!T44+'原始數據'!V44</x:f>
        <x:v>424</x:v>
      </x:c>
      <x:c r="N44" s="12" t="n">
        <x:f>'原始數據'!S44+'原始數據'!V44</x:f>
        <x:v>390</x:v>
      </x:c>
      <x:c r="O44" s="12" t="n">
        <x:f>M44-N44</x:f>
        <x:v>34</x:v>
      </x:c>
      <x:c r="P44" s="12" t="n">
        <x:f>M44</x:f>
        <x:v>424</x:v>
      </x:c>
      <x:c r="Q44" s="14" t="n">
        <x:f>IF(ISNUMBER(P44),IF(P44&gt;0,L44/P44,"不具意義"),"資料不足")</x:f>
        <x:v>3.193396226415094</x:v>
      </x:c>
      <x:c r="R44" s="12" t="str">
        <x:v>全年=最近12月</x:v>
      </x:c>
      <x:c r="S44" s="15" t="n">
        <x:f>'原始數據'!O44-F44-G44</x:f>
        <x:v>0</x:v>
      </x:c>
      <x:c r="T44" s="15" t="n">
        <x:f>G44-'原始數據'!S44-H44</x:f>
        <x:v>0</x:v>
      </x:c>
      <x:c r="U44" s="15" t="n">
        <x:f>SUM('原始數據'!G44,'原始數據'!H44,'原始數據'!I44)/'原始數據'!J44-J44</x:f>
        <x:v>-0.000016257088846671763</x:v>
      </x:c>
      <x:c r="V44" s="15" t="n">
        <x:f>'原始數據'!AA44/'原始數據'!AB44-K44</x:f>
        <x:v>-0.00004521452145200833</x:v>
      </x:c>
      <x:c r="W44" s="15" t="n">
        <x:f>M44/I44-'原始數據'!Y44</x:f>
        <x:v>0.000465116279070088</x:v>
      </x:c>
    </x:row>
    <x:row r="45" ht="25" customHeight="1">
      <x:c r="A45" s="3" t="n">
        <x:v>40</x:v>
      </x:c>
      <x:c r="B45" s="3" t="str">
        <x:v>INSULET CORPORATION</x:v>
      </x:c>
      <x:c r="C45" s="3" t="str">
        <x:v>2025-01-01~2025-12-31</x:v>
      </x:c>
      <x:c r="D45" s="3" t="str">
        <x:v>USD  million</x:v>
      </x:c>
      <x:c r="E45" s="12" t="n">
        <x:f>1</x:f>
        <x:v>1</x:v>
      </x:c>
      <x:c r="F45" s="12" t="n">
        <x:f>'原始數據'!P45</x:f>
        <x:v>768</x:v>
      </x:c>
      <x:c r="G45" s="12" t="n">
        <x:f>'原始數據'!Q45</x:f>
        <x:v>1940</x:v>
      </x:c>
      <x:c r="H45" s="12" t="n">
        <x:f>'原始數據'!R45</x:f>
        <x:v>1466</x:v>
      </x:c>
      <x:c r="I45" s="12" t="n">
        <x:f>'原始數據'!T45</x:f>
        <x:v>60</x:v>
      </x:c>
      <x:c r="J45" s="13" t="n">
        <x:f>'原始數據'!W45</x:f>
        <x:v>1.8132</x:v>
      </x:c>
      <x:c r="K45" s="13" t="n">
        <x:f>'原始數據'!X45</x:f>
        <x:v>1.1056</x:v>
      </x:c>
      <x:c r="L45" s="12" t="n">
        <x:f>SUM('原始數據'!K45,'原始數據'!L45,'原始數據'!M45,'原始數據'!N45)</x:f>
        <x:v>933</x:v>
      </x:c>
      <x:c r="M45" s="12" t="n">
        <x:f>'原始數據'!U45+'原始數據'!T45+'原始數據'!V45</x:f>
        <x:v>489</x:v>
      </x:c>
      <x:c r="N45" s="12" t="n">
        <x:f>'原始數據'!S45+'原始數據'!V45</x:f>
        <x:v>564</x:v>
      </x:c>
      <x:c r="O45" s="12" t="n">
        <x:f>M45-N45</x:f>
        <x:v>-75</x:v>
      </x:c>
      <x:c r="P45" s="12" t="n">
        <x:f>M45</x:f>
        <x:v>489</x:v>
      </x:c>
      <x:c r="Q45" s="14" t="n">
        <x:f>IF(ISNUMBER(P45),IF(P45&gt;0,L45/P45,"不具意義"),"資料不足")</x:f>
        <x:v>1.9079754601226995</x:v>
      </x:c>
      <x:c r="R45" s="12" t="str">
        <x:v>全年=最近12月</x:v>
      </x:c>
      <x:c r="S45" s="15" t="n">
        <x:f>'原始數據'!O45-F45-G45</x:f>
        <x:v>0</x:v>
      </x:c>
      <x:c r="T45" s="15" t="n">
        <x:f>G45-'原始數據'!S45-H45</x:f>
        <x:v>0</x:v>
      </x:c>
      <x:c r="U45" s="15" t="n">
        <x:f>SUM('原始數據'!G45,'原始數據'!H45,'原始數據'!I45)/'原始數據'!J45-J45</x:f>
        <x:v>0.000035294117647133305</x:v>
      </x:c>
      <x:c r="V45" s="15" t="n">
        <x:f>'原始數據'!AA45/'原始數據'!AB45-K45</x:f>
        <x:v>0.000010561056105640176</x:v>
      </x:c>
      <x:c r="W45" s="15" t="n">
        <x:f>M45/I45-'原始數據'!Y45</x:f>
        <x:v>0</x:v>
      </x:c>
    </x:row>
    <x:row r="46" ht="25" customHeight="1">
      <x:c r="A46" s="3" t="n">
        <x:v>41</x:v>
      </x:c>
      <x:c r="B46" s="3" t="str">
        <x:v>TRANSUNION</x:v>
      </x:c>
      <x:c r="C46" s="3" t="str">
        <x:v>2022-01-01~2022-12-31</x:v>
      </x:c>
      <x:c r="D46" s="3" t="str">
        <x:v>USD  million</x:v>
      </x:c>
      <x:c r="E46" s="12" t="n">
        <x:f>1</x:f>
        <x:v>1</x:v>
      </x:c>
      <x:c r="F46" s="12" t="n">
        <x:f>'原始數據'!P46</x:f>
        <x:v>1223</x:v>
      </x:c>
      <x:c r="G46" s="12" t="n">
        <x:f>'原始數據'!Q46</x:f>
        <x:v>2487</x:v>
      </x:c>
      <x:c r="H46" s="12" t="n">
        <x:f>'原始數據'!R46</x:f>
        <x:v>1856</x:v>
      </x:c>
      <x:c r="I46" s="12" t="n">
        <x:f>'原始數據'!T46</x:f>
        <x:v>231</x:v>
      </x:c>
      <x:c r="J46" s="13" t="n">
        <x:f>'原始數據'!W46</x:f>
        <x:v>1.3102</x:v>
      </x:c>
      <x:c r="K46" s="13" t="n">
        <x:f>'原始數據'!X46</x:f>
        <x:v>1.7327000000000001</x:v>
      </x:c>
      <x:c r="L46" s="12" t="n">
        <x:f>SUM('原始數據'!K46,'原始數據'!L46,'原始數據'!M46,'原始數據'!N46)</x:f>
        <x:v>5671</x:v>
      </x:c>
      <x:c r="M46" s="12" t="n">
        <x:f>'原始數據'!U46+'原始數據'!T46+'原始數據'!V46</x:f>
        <x:v>1138</x:v>
      </x:c>
      <x:c r="N46" s="12" t="n">
        <x:f>'原始數據'!S46+'原始數據'!V46</x:f>
        <x:v>1150</x:v>
      </x:c>
      <x:c r="O46" s="12" t="n">
        <x:f>M46-N46</x:f>
        <x:v>-12</x:v>
      </x:c>
      <x:c r="P46" s="12" t="n">
        <x:f>M46</x:f>
        <x:v>1138</x:v>
      </x:c>
      <x:c r="Q46" s="14" t="n">
        <x:f>IF(ISNUMBER(P46),IF(P46&gt;0,L46/P46,"不具意義"),"資料不足")</x:f>
        <x:v>4.983304042179262</x:v>
      </x:c>
      <x:c r="R46" s="12" t="str">
        <x:v>全年=最近12月</x:v>
      </x:c>
      <x:c r="S46" s="15" t="n">
        <x:f>'原始數據'!O46-F46-G46</x:f>
        <x:v>0</x:v>
      </x:c>
      <x:c r="T46" s="15" t="n">
        <x:f>G46-'原始數據'!S46-H46</x:f>
        <x:v>0</x:v>
      </x:c>
      <x:c r="U46" s="15" t="n">
        <x:f>SUM('原始數據'!G46,'原始數據'!H46,'原始數據'!I46)/'原始數據'!J46-J46</x:f>
        <x:v>-0.00004547461368664685</x:v>
      </x:c>
      <x:c r="V46" s="15" t="n">
        <x:f>'原始數據'!AA46/'原始數據'!AB46-K46</x:f>
        <x:v>0.00002429140313875422</x:v>
      </x:c>
      <x:c r="W46" s="15" t="n">
        <x:f>M46/I46-'原始數據'!Y46</x:f>
        <x:v>-0.0035930735930733704</x:v>
      </x:c>
    </x:row>
    <x:row r="47" ht="25" customHeight="1">
      <x:c r="A47" s="3" t="n">
        <x:v>42</x:v>
      </x:c>
      <x:c r="B47" s="3" t="str">
        <x:v>TRANSUNION</x:v>
      </x:c>
      <x:c r="C47" s="3" t="str">
        <x:v>2023-01-01~2023-12-31</x:v>
      </x:c>
      <x:c r="D47" s="3" t="str">
        <x:v>USD  million</x:v>
      </x:c>
      <x:c r="E47" s="12" t="n">
        <x:f>1</x:f>
        <x:v>1</x:v>
      </x:c>
      <x:c r="F47" s="12" t="n">
        <x:f>'原始數據'!P47</x:f>
        <x:v>1517</x:v>
      </x:c>
      <x:c r="G47" s="12" t="n">
        <x:f>'原始數據'!Q47</x:f>
        <x:v>2314</x:v>
      </x:c>
      <x:c r="H47" s="12" t="n">
        <x:f>'原始數據'!R47</x:f>
        <x:v>2185</x:v>
      </x:c>
      <x:c r="I47" s="12" t="n">
        <x:f>'原始數據'!T47</x:f>
        <x:v>288</x:v>
      </x:c>
      <x:c r="J47" s="13" t="n">
        <x:f>'原始數據'!W47</x:f>
        <x:v>1.1954</x:v>
      </x:c>
      <x:c r="K47" s="13" t="n">
        <x:f>'原始數據'!X47</x:f>
        <x:v>1.7052</x:v>
      </x:c>
      <x:c r="L47" s="12" t="n">
        <x:f>SUM('原始數據'!K47,'原始數據'!L47,'原始數據'!M47,'原始數據'!N47)</x:f>
        <x:v>5341</x:v>
      </x:c>
      <x:c r="M47" s="12" t="n">
        <x:f>'原始數據'!U47+'原始數據'!T47+'原始數據'!V47</x:f>
        <x:v>667</x:v>
      </x:c>
      <x:c r="N47" s="12" t="n">
        <x:f>'原始數據'!S47+'原始數據'!V47</x:f>
        <x:v>653</x:v>
      </x:c>
      <x:c r="O47" s="12" t="n">
        <x:f>M47-N47</x:f>
        <x:v>14</x:v>
      </x:c>
      <x:c r="P47" s="12" t="n">
        <x:f>M47</x:f>
        <x:v>667</x:v>
      </x:c>
      <x:c r="Q47" s="14" t="n">
        <x:f>IF(ISNUMBER(P47),IF(P47&gt;0,L47/P47,"不具意義"),"資料不足")</x:f>
        <x:v>8.007496251874063</x:v>
      </x:c>
      <x:c r="R47" s="12" t="str">
        <x:v>全年=最近12月</x:v>
      </x:c>
      <x:c r="S47" s="15" t="n">
        <x:f>'原始數據'!O47-F47-G47</x:f>
        <x:v>0</x:v>
      </x:c>
      <x:c r="T47" s="15" t="n">
        <x:f>G47-'原始數據'!S47-H47</x:f>
        <x:v>0</x:v>
      </x:c>
      <x:c r="U47" s="15" t="n">
        <x:f>SUM('原始數據'!G47,'原始數據'!H47,'原始數據'!I47)/'原始數據'!J47-J47</x:f>
        <x:v>0.000013758723828471986</x:v>
      </x:c>
      <x:c r="V47" s="15" t="n">
        <x:f>'原始數據'!AA47/'原始數據'!AB47-K47</x:f>
        <x:v>0.000037515225334905367</x:v>
      </x:c>
      <x:c r="W47" s="15" t="n">
        <x:f>M47/I47-'原始數據'!Y47</x:f>
        <x:v>-0.004027777777777519</x:v>
      </x:c>
    </x:row>
    <x:row r="48" ht="25" customHeight="1">
      <x:c r="A48" s="3" t="n">
        <x:v>43</x:v>
      </x:c>
      <x:c r="B48" s="3" t="str">
        <x:v>TRANSUNION</x:v>
      </x:c>
      <x:c r="C48" s="3" t="str">
        <x:v>2024-01-01~2024-12-31</x:v>
      </x:c>
      <x:c r="D48" s="3" t="str">
        <x:v>USD  million</x:v>
      </x:c>
      <x:c r="E48" s="12" t="n">
        <x:f>1</x:f>
        <x:v>1</x:v>
      </x:c>
      <x:c r="F48" s="12" t="n">
        <x:f>'原始數據'!P48</x:f>
        <x:v>1673</x:v>
      </x:c>
      <x:c r="G48" s="12" t="n">
        <x:f>'原始數據'!Q48</x:f>
        <x:v>2511</x:v>
      </x:c>
      <x:c r="H48" s="12" t="n">
        <x:f>'原始數據'!R48</x:f>
        <x:v>1844</x:v>
      </x:c>
      <x:c r="I48" s="12" t="n">
        <x:f>'原始數據'!T48</x:f>
        <x:v>265</x:v>
      </x:c>
      <x:c r="J48" s="13" t="n">
        <x:f>'原始數據'!W48</x:f>
        <x:v>1.3953</x:v>
      </x:c>
      <x:c r="K48" s="13" t="n">
        <x:f>'原始數據'!X48</x:f>
        <x:v>1.5444</x:v>
      </x:c>
      <x:c r="L48" s="12" t="n">
        <x:f>SUM('原始數據'!K48,'原始數據'!L48,'原始數據'!M48,'原始數據'!N48)</x:f>
        <x:v>5148</x:v>
      </x:c>
      <x:c r="M48" s="12" t="n">
        <x:f>'原始數據'!U48+'原始數據'!T48+'原始數據'!V48</x:f>
        <x:v>1190</x:v>
      </x:c>
      <x:c r="N48" s="12" t="n">
        <x:f>'原始數據'!S48+'原始數據'!V48</x:f>
        <x:v>1191</x:v>
      </x:c>
      <x:c r="O48" s="12" t="n">
        <x:f>M48-N48</x:f>
        <x:v>-1</x:v>
      </x:c>
      <x:c r="P48" s="12" t="n">
        <x:f>M48</x:f>
        <x:v>1190</x:v>
      </x:c>
      <x:c r="Q48" s="14" t="n">
        <x:f>IF(ISNUMBER(P48),IF(P48&gt;0,L48/P48,"不具意義"),"資料不足")</x:f>
        <x:v>4.326050420168067</x:v>
      </x:c>
      <x:c r="R48" s="12" t="str">
        <x:v>全年=最近12月</x:v>
      </x:c>
      <x:c r="S48" s="15" t="n">
        <x:f>'原始數據'!O48-F48-G48</x:f>
        <x:v>0</x:v>
      </x:c>
      <x:c r="T48" s="15" t="n">
        <x:f>G48-'原始數據'!S48-H48</x:f>
        <x:v>0</x:v>
      </x:c>
      <x:c r="U48" s="15" t="n">
        <x:f>SUM('原始數據'!G48,'原始數據'!H48,'原始數據'!I48)/'原始數據'!J48-J48</x:f>
        <x:v>-0.00001698113207537766</x:v>
      </x:c>
      <x:c r="V48" s="15" t="n">
        <x:f>'原始數據'!AA48/'原始數據'!AB48-K48</x:f>
        <x:v>-0.000040491081769733483</x:v>
      </x:c>
      <x:c r="W48" s="15" t="n">
        <x:f>M48/I48-'原始數據'!Y48</x:f>
        <x:v>0.0005660377358491786</x:v>
      </x:c>
    </x:row>
    <x:row r="49" ht="25" customHeight="1">
      <x:c r="A49" s="3" t="n">
        <x:v>44</x:v>
      </x:c>
      <x:c r="B49" s="3" t="str">
        <x:v>TRANSUNION</x:v>
      </x:c>
      <x:c r="C49" s="3" t="str">
        <x:v>2025-01-01~2025-12-31</x:v>
      </x:c>
      <x:c r="D49" s="3" t="str">
        <x:v>USD  million</x:v>
      </x:c>
      <x:c r="E49" s="12" t="n">
        <x:f>1</x:f>
        <x:v>1</x:v>
      </x:c>
      <x:c r="F49" s="12" t="n">
        <x:f>'原始數據'!P49</x:f>
        <x:v>1872</x:v>
      </x:c>
      <x:c r="G49" s="12" t="n">
        <x:f>'原始數據'!Q49</x:f>
        <x:v>2704</x:v>
      </x:c>
      <x:c r="H49" s="12" t="n">
        <x:f>'原始數據'!R49</x:f>
        <x:v>1846</x:v>
      </x:c>
      <x:c r="I49" s="12" t="n">
        <x:f>'原始數據'!T49</x:f>
        <x:v>236</x:v>
      </x:c>
      <x:c r="J49" s="13" t="n">
        <x:f>'原始數據'!W49</x:f>
        <x:v>1.5221</x:v>
      </x:c>
      <x:c r="K49" s="13" t="n">
        <x:f>'原始數據'!X49</x:f>
        <x:v>1.4450999999999998</x:v>
      </x:c>
      <x:c r="L49" s="12" t="n">
        <x:f>SUM('原始數據'!K49,'原始數據'!L49,'原始數據'!M49,'原始數據'!N49)</x:f>
        <x:v>5104</x:v>
      </x:c>
      <x:c r="M49" s="12" t="n">
        <x:f>'原始數據'!U49+'原始數據'!T49+'原始數據'!V49</x:f>
        <x:v>1424</x:v>
      </x:c>
      <x:c r="N49" s="12" t="n">
        <x:f>'原始數據'!S49+'原始數據'!V49</x:f>
        <x:v>1403</x:v>
      </x:c>
      <x:c r="O49" s="12" t="n">
        <x:f>M49-N49</x:f>
        <x:v>21</x:v>
      </x:c>
      <x:c r="P49" s="12" t="n">
        <x:f>M49</x:f>
        <x:v>1424</x:v>
      </x:c>
      <x:c r="Q49" s="14" t="n">
        <x:f>IF(ISNUMBER(P49),IF(P49&gt;0,L49/P49,"不具意義"),"資料不足")</x:f>
        <x:v>3.5842696629213484</x:v>
      </x:c>
      <x:c r="R49" s="12" t="str">
        <x:v>全年=最近12月</x:v>
      </x:c>
      <x:c r="S49" s="15" t="n">
        <x:f>'原始數據'!O49-F49-G49</x:f>
        <x:v>0</x:v>
      </x:c>
      <x:c r="T49" s="15" t="n">
        <x:f>G49-'原始數據'!S49-H49</x:f>
        <x:v>0</x:v>
      </x:c>
      <x:c r="U49" s="15" t="n">
        <x:f>SUM('原始數據'!G49,'原始數據'!H49,'原始數據'!I49)/'原始數據'!J49-J49</x:f>
        <x:v>-0.00002207792207786774</x:v>
      </x:c>
      <x:c r="V49" s="15" t="n">
        <x:f>'原始數據'!AA49/'原始數據'!AB49-K49</x:f>
        <x:v>0.0000045104510453253255</x:v>
      </x:c>
      <x:c r="W49" s="15" t="n">
        <x:f>M49/I49-'原始數據'!Y49</x:f>
        <x:v>0.0038983050847454237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31" hidden="0" customWidth="1"/>
    <x:col min="4" max="4" width="16" hidden="0" customWidth="1"/>
    <x:col min="5" max="5" width="18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90" hidden="0" customWidth="1"/>
  </x:cols>
  <x:sheetData>
    <x:row r="2">
      <x:c r="A2" s="1" t="str">
        <x:v>原始數據</x:v>
      </x:c>
    </x:row>
    <x:row r="3">
      <x:c r="A3" t="str">
        <x:v>原報表為靜態值；數值與文字比例由原檔擷取。空白保留，不視為已確認的零。列號對照見口徑說明。</x:v>
      </x:c>
    </x:row>
    <x:row r="5" ht="32" customHeight="1">
      <x:c r="A5" s="5" t="str">
        <x:v>編號</x:v>
      </x:c>
      <x:c r="B5" s="5" t="str">
        <x:v>公司</x:v>
      </x:c>
      <x:c r="C5" s="5" t="str">
        <x:v>損益期間</x:v>
      </x:c>
      <x:c r="D5" s="5" t="str">
        <x:v>資產負債日</x:v>
      </x:c>
      <x:c r="E5" s="5" t="str">
        <x:v>原始單位</x:v>
      </x:c>
      <x:c r="F5" s="5" t="str">
        <x:v>原表欄</x:v>
      </x:c>
      <x:c r="G5" s="5" t="str">
        <x:v>現金</x:v>
      </x:c>
      <x:c r="H5" s="5" t="str">
        <x:v>流動金融資產</x:v>
      </x:c>
      <x:c r="I5" s="5" t="str">
        <x:v>應收款項</x:v>
      </x:c>
      <x:c r="J5" s="5" t="str">
        <x:v>流動負債</x:v>
      </x:c>
      <x:c r="K5" s="5" t="str">
        <x:v>短期借款</x:v>
      </x:c>
      <x:c r="L5" s="5" t="str">
        <x:v>一年內到期長債</x:v>
      </x:c>
      <x:c r="M5" s="5" t="str">
        <x:v>長期銀行借款</x:v>
      </x:c>
      <x:c r="N5" s="5" t="str">
        <x:v>公司債</x:v>
      </x:c>
      <x:c r="O5" s="5" t="str">
        <x:v>營收</x:v>
      </x:c>
      <x:c r="P5" s="5" t="str">
        <x:v>營收成本</x:v>
      </x:c>
      <x:c r="Q5" s="5" t="str">
        <x:v>毛利</x:v>
      </x:c>
      <x:c r="R5" s="5" t="str">
        <x:v>營業費用</x:v>
      </x:c>
      <x:c r="S5" s="5" t="str">
        <x:v>營業利益</x:v>
      </x:c>
      <x:c r="T5" s="5" t="str">
        <x:v>利息費用</x:v>
      </x:c>
      <x:c r="U5" s="5" t="str">
        <x:v>稅前損益</x:v>
      </x:c>
      <x:c r="V5" s="5" t="str">
        <x:v>折舊攤銷</x:v>
      </x:c>
      <x:c r="W5" s="5" t="str">
        <x:v>速動比率</x:v>
      </x:c>
      <x:c r="X5" s="5" t="str">
        <x:v>負債淨值比</x:v>
      </x:c>
      <x:c r="Y5" s="5" t="str">
        <x:v>EBITDA/利息</x:v>
      </x:c>
      <x:c r="Z5" s="5" t="str">
        <x:v>長期負債合計</x:v>
      </x:c>
      <x:c r="AA5" s="5" t="str">
        <x:v>總負債</x:v>
      </x:c>
      <x:c r="AB5" s="5" t="str">
        <x:v>淨值</x:v>
      </x:c>
      <x:c r="AC5" s="5" t="str">
        <x:v>總資產</x:v>
      </x:c>
      <x:c r="AD5" s="5" t="str">
        <x:v>來源檔案完整路徑</x:v>
      </x:c>
    </x:row>
    <x:row r="6" ht="25" customHeight="1">
      <x:c r="A6" s="3" t="n">
        <x:v>1</x:v>
      </x:c>
      <x:c r="B6" s="3" t="str">
        <x:v>NEXSTAR MEDIA GROUP, INC.</x:v>
      </x:c>
      <x:c r="C6" s="3" t="str">
        <x:v>2024-01-01~2024-12-31</x:v>
      </x:c>
      <x:c r="D6" s="3" t="str">
        <x:v>2024-12-31</x:v>
      </x:c>
      <x:c r="E6" s="3" t="str">
        <x:v>USD  thousand</x:v>
      </x:c>
      <x:c r="F6" s="3" t="str">
        <x:v>D</x:v>
      </x:c>
      <x:c r="G6" s="9" t="n">
        <x:v>144000</x:v>
      </x:c>
      <x:c r="H6" s="9"/>
      <x:c r="I6" s="9" t="n">
        <x:v>1028000</x:v>
      </x:c>
      <x:c r="J6" s="9" t="n">
        <x:v>783000</x:v>
      </x:c>
      <x:c r="K6" s="9"/>
      <x:c r="L6" s="9" t="n">
        <x:v>124000</x:v>
      </x:c>
      <x:c r="M6" s="9" t="n">
        <x:v>3688000</x:v>
      </x:c>
      <x:c r="N6" s="9" t="n">
        <x:v>2711000</x:v>
      </x:c>
      <x:c r="O6" s="9" t="n">
        <x:v>5407000</x:v>
      </x:c>
      <x:c r="P6" s="9" t="n">
        <x:v>2221000</x:v>
      </x:c>
      <x:c r="Q6" s="9" t="n">
        <x:v>3186000</x:v>
      </x:c>
      <x:c r="R6" s="9" t="n">
        <x:v>1918000</x:v>
      </x:c>
      <x:c r="S6" s="9" t="n">
        <x:v>1268000</x:v>
      </x:c>
      <x:c r="T6" s="9" t="n">
        <x:v>444000</x:v>
      </x:c>
      <x:c r="U6" s="9" t="n">
        <x:v>959000</x:v>
      </x:c>
      <x:c r="V6" s="9" t="n">
        <x:v>808000</x:v>
      </x:c>
      <x:c r="W6" s="10" t="n">
        <x:v>1.4968000000000001</x:v>
      </x:c>
      <x:c r="X6" s="10" t="n">
        <x:v>4.0564</x:v>
      </x:c>
      <x:c r="Y6" s="11" t="n">
        <x:v>4.98</x:v>
      </x:c>
      <x:c r="Z6" s="9" t="n">
        <x:v>6399000</x:v>
      </x:c>
      <x:c r="AA6" s="9" t="n">
        <x:v>9200000</x:v>
      </x:c>
      <x:c r="AB6" s="9" t="n">
        <x:v>2268000</x:v>
      </x:c>
      <x:c r="AC6" s="9" t="n">
        <x:v>11468000</x:v>
      </x:c>
      <x:c r="AD6" s="3" t="str">
        <x:v>/Users/yuntzuyu/Downloads/e-loan/Quarter/E-Loan YQYQ-Nexstar Q1.xls</x:v>
      </x:c>
    </x:row>
    <x:row r="7" ht="25" customHeight="1">
      <x:c r="A7" s="3" t="n">
        <x:v>2</x:v>
      </x:c>
      <x:c r="B7" s="3" t="str">
        <x:v>NEXSTAR MEDIA GROUP, INC.</x:v>
      </x:c>
      <x:c r="C7" s="3" t="str">
        <x:v>2025-01-01~2025-03-31</x:v>
      </x:c>
      <x:c r="D7" s="3" t="str">
        <x:v>2025-03-31</x:v>
      </x:c>
      <x:c r="E7" s="3" t="str">
        <x:v>USD  thousand</x:v>
      </x:c>
      <x:c r="F7" s="3" t="str">
        <x:v>I</x:v>
      </x:c>
      <x:c r="G7" s="9" t="n">
        <x:v>253000</x:v>
      </x:c>
      <x:c r="H7" s="9"/>
      <x:c r="I7" s="9" t="n">
        <x:v>1030000</x:v>
      </x:c>
      <x:c r="J7" s="9" t="n">
        <x:v>805000</x:v>
      </x:c>
      <x:c r="K7" s="9"/>
      <x:c r="L7" s="9" t="n">
        <x:v>124000</x:v>
      </x:c>
      <x:c r="M7" s="9" t="n">
        <x:v>3660000</x:v>
      </x:c>
      <x:c r="N7" s="9" t="n">
        <x:v>2711000</x:v>
      </x:c>
      <x:c r="O7" s="9" t="n">
        <x:v>1234000</x:v>
      </x:c>
      <x:c r="P7" s="9" t="n">
        <x:v>551000</x:v>
      </x:c>
      <x:c r="Q7" s="9" t="n">
        <x:v>683000</x:v>
      </x:c>
      <x:c r="R7" s="9" t="n">
        <x:v>463000</x:v>
      </x:c>
      <x:c r="S7" s="9" t="n">
        <x:v>220000</x:v>
      </x:c>
      <x:c r="T7" s="9" t="n">
        <x:v>97000</x:v>
      </x:c>
      <x:c r="U7" s="9" t="n">
        <x:v>138000</x:v>
      </x:c>
      <x:c r="V7" s="9" t="n">
        <x:v>205000</x:v>
      </x:c>
      <x:c r="W7" s="10" t="n">
        <x:v>1.5937999999999999</x:v>
      </x:c>
      <x:c r="X7" s="10" t="n">
        <x:v>4.072900000000001</x:v>
      </x:c>
      <x:c r="Y7" s="11" t="n">
        <x:v>4.54</x:v>
      </x:c>
      <x:c r="Z7" s="9" t="n">
        <x:v>6371000</x:v>
      </x:c>
      <x:c r="AA7" s="9" t="n">
        <x:v>9164000</x:v>
      </x:c>
      <x:c r="AB7" s="9" t="n">
        <x:v>2250000</x:v>
      </x:c>
      <x:c r="AC7" s="9" t="n">
        <x:v>11414000</x:v>
      </x:c>
      <x:c r="AD7" s="3" t="str">
        <x:v>/Users/yuntzuyu/Downloads/e-loan/Quarter/E-Loan YQYQ-Nexstar Q1.xls</x:v>
      </x:c>
    </x:row>
    <x:row r="8" ht="25" customHeight="1">
      <x:c r="A8" s="3" t="n">
        <x:v>3</x:v>
      </x:c>
      <x:c r="B8" s="3" t="str">
        <x:v>NEXSTAR MEDIA GROUP, INC.</x:v>
      </x:c>
      <x:c r="C8" s="3" t="str">
        <x:v>2025-01-01~2025-12-31</x:v>
      </x:c>
      <x:c r="D8" s="3" t="str">
        <x:v>2025-12-31</x:v>
      </x:c>
      <x:c r="E8" s="3" t="str">
        <x:v>USD  thousand</x:v>
      </x:c>
      <x:c r="F8" s="3" t="str">
        <x:v>M</x:v>
      </x:c>
      <x:c r="G8" s="9" t="n">
        <x:v>280000</x:v>
      </x:c>
      <x:c r="H8" s="9"/>
      <x:c r="I8" s="9" t="n">
        <x:v>1075000</x:v>
      </x:c>
      <x:c r="J8" s="9" t="n">
        <x:v>711000</x:v>
      </x:c>
      <x:c r="K8" s="9"/>
      <x:c r="L8" s="9" t="n">
        <x:v>111000</x:v>
      </x:c>
      <x:c r="M8" s="9" t="n">
        <x:v>3511000</x:v>
      </x:c>
      <x:c r="N8" s="9" t="n">
        <x:v>2711000</x:v>
      </x:c>
      <x:c r="O8" s="9" t="n">
        <x:v>4949000</x:v>
      </x:c>
      <x:c r="P8" s="9" t="n">
        <x:v>2235000</x:v>
      </x:c>
      <x:c r="Q8" s="9" t="n">
        <x:v>2714000</x:v>
      </x:c>
      <x:c r="R8" s="9" t="n">
        <x:v>1865000</x:v>
      </x:c>
      <x:c r="S8" s="9" t="n">
        <x:v>849000</x:v>
      </x:c>
      <x:c r="T8" s="9" t="n">
        <x:v>379000</x:v>
      </x:c>
      <x:c r="U8" s="9" t="n">
        <x:v>150000</x:v>
      </x:c>
      <x:c r="V8" s="9" t="n">
        <x:v>785000</x:v>
      </x:c>
      <x:c r="W8" s="10" t="n">
        <x:v>1.9058000000000002</x:v>
      </x:c>
      <x:c r="X8" s="10" t="n">
        <x:v>4.2599</x:v>
      </x:c>
      <x:c r="Y8" s="11" t="n">
        <x:v>3.47</x:v>
      </x:c>
      <x:c r="Z8" s="9" t="n">
        <x:v>6222000</x:v>
      </x:c>
      <x:c r="AA8" s="9" t="n">
        <x:v>8784000</x:v>
      </x:c>
      <x:c r="AB8" s="9" t="n">
        <x:v>2062000</x:v>
      </x:c>
      <x:c r="AC8" s="9" t="n">
        <x:v>10846000</x:v>
      </x:c>
      <x:c r="AD8" s="3" t="str">
        <x:v>/Users/yuntzuyu/Downloads/e-loan/Quarter/E-Loan YQYQ-Nexstar Q1.xls</x:v>
      </x:c>
    </x:row>
    <x:row r="9" ht="25" customHeight="1">
      <x:c r="A9" s="3" t="n">
        <x:v>4</x:v>
      </x:c>
      <x:c r="B9" s="3" t="str">
        <x:v>NEXSTAR MEDIA GROUP, INC.</x:v>
      </x:c>
      <x:c r="C9" s="3" t="str">
        <x:v>2026-01-01~2026-03-31</x:v>
      </x:c>
      <x:c r="D9" s="3" t="str">
        <x:v>2026-03-31</x:v>
      </x:c>
      <x:c r="E9" s="3" t="str">
        <x:v>USD  thousand</x:v>
      </x:c>
      <x:c r="F9" s="3" t="str">
        <x:v>R</x:v>
      </x:c>
      <x:c r="G9" s="9" t="n">
        <x:v>379000</x:v>
      </x:c>
      <x:c r="H9" s="9"/>
      <x:c r="I9" s="9" t="n">
        <x:v>1657000</x:v>
      </x:c>
      <x:c r="J9" s="9" t="n">
        <x:v>1299000</x:v>
      </x:c>
      <x:c r="K9" s="9"/>
      <x:c r="L9" s="9" t="n">
        <x:v>274000</x:v>
      </x:c>
      <x:c r="M9" s="9" t="n">
        <x:v>5271000</x:v>
      </x:c>
      <x:c r="N9" s="9" t="n">
        <x:v>6607000</x:v>
      </x:c>
      <x:c r="O9" s="9" t="n">
        <x:v>1396000</x:v>
      </x:c>
      <x:c r="P9" s="9" t="n">
        <x:v>611000</x:v>
      </x:c>
      <x:c r="Q9" s="9" t="n">
        <x:v>785000</x:v>
      </x:c>
      <x:c r="R9" s="9" t="n">
        <x:v>520000</x:v>
      </x:c>
      <x:c r="S9" s="9" t="n">
        <x:v>265000</x:v>
      </x:c>
      <x:c r="T9" s="9" t="n">
        <x:v>120000</x:v>
      </x:c>
      <x:c r="U9" s="9" t="n">
        <x:v>153000</x:v>
      </x:c>
      <x:c r="V9" s="9" t="n">
        <x:v>193000</x:v>
      </x:c>
      <x:c r="W9" s="10" t="n">
        <x:v>1.5674000000000001</x:v>
      </x:c>
      <x:c r="X9" s="10" t="n">
        <x:v>7.3501</x:v>
      </x:c>
      <x:c r="Y9" s="11" t="n">
        <x:v>3.88</x:v>
      </x:c>
      <x:c r="Z9" s="9" t="n">
        <x:v>11878000</x:v>
      </x:c>
      <x:c r="AA9" s="9" t="n">
        <x:v>15935000</x:v>
      </x:c>
      <x:c r="AB9" s="9" t="n">
        <x:v>2168000</x:v>
      </x:c>
      <x:c r="AC9" s="9" t="n">
        <x:v>18103000</x:v>
      </x:c>
      <x:c r="AD9" s="3" t="str">
        <x:v>/Users/yuntzuyu/Downloads/e-loan/Quarter/E-Loan YQYQ-Nexstar Q1.xls</x:v>
      </x:c>
    </x:row>
    <x:row r="10" ht="25" customHeight="1">
      <x:c r="A10" s="3" t="n">
        <x:v>5</x:v>
      </x:c>
      <x:c r="B10" s="3" t="str">
        <x:v>NEXSTAR MEDIA GROUP, INC.</x:v>
      </x:c>
      <x:c r="C10" s="3" t="str">
        <x:v>2024-01-01~2024-12-31</x:v>
      </x:c>
      <x:c r="D10" s="3" t="str">
        <x:v>2024-12-31</x:v>
      </x:c>
      <x:c r="E10" s="3" t="str">
        <x:v>USD  thousand</x:v>
      </x:c>
      <x:c r="F10" s="3" t="str">
        <x:v>D</x:v>
      </x:c>
      <x:c r="G10" s="9" t="n">
        <x:v>144000</x:v>
      </x:c>
      <x:c r="H10" s="9"/>
      <x:c r="I10" s="9" t="n">
        <x:v>1028000</x:v>
      </x:c>
      <x:c r="J10" s="9" t="n">
        <x:v>783000</x:v>
      </x:c>
      <x:c r="K10" s="9"/>
      <x:c r="L10" s="9" t="n">
        <x:v>124000</x:v>
      </x:c>
      <x:c r="M10" s="9" t="n">
        <x:v>3688000</x:v>
      </x:c>
      <x:c r="N10" s="9" t="n">
        <x:v>2711000</x:v>
      </x:c>
      <x:c r="O10" s="9" t="n">
        <x:v>5407000</x:v>
      </x:c>
      <x:c r="P10" s="9" t="n">
        <x:v>2221000</x:v>
      </x:c>
      <x:c r="Q10" s="9" t="n">
        <x:v>3186000</x:v>
      </x:c>
      <x:c r="R10" s="9" t="n">
        <x:v>1918000</x:v>
      </x:c>
      <x:c r="S10" s="9" t="n">
        <x:v>1268000</x:v>
      </x:c>
      <x:c r="T10" s="9" t="n">
        <x:v>444000</x:v>
      </x:c>
      <x:c r="U10" s="9" t="n">
        <x:v>959000</x:v>
      </x:c>
      <x:c r="V10" s="9" t="n">
        <x:v>808000</x:v>
      </x:c>
      <x:c r="W10" s="10" t="n">
        <x:v>1.4968000000000001</x:v>
      </x:c>
      <x:c r="X10" s="10" t="n">
        <x:v>4.0564</x:v>
      </x:c>
      <x:c r="Y10" s="11" t="n">
        <x:v>4.98</x:v>
      </x:c>
      <x:c r="Z10" s="9" t="n">
        <x:v>6399000</x:v>
      </x:c>
      <x:c r="AA10" s="9" t="n">
        <x:v>9200000</x:v>
      </x:c>
      <x:c r="AB10" s="9" t="n">
        <x:v>2268000</x:v>
      </x:c>
      <x:c r="AC10" s="9" t="n">
        <x:v>11468000</x:v>
      </x:c>
      <x:c r="AD10" s="3" t="str">
        <x:v>/Users/yuntzuyu/Downloads/e-loan/Quarter/E-Loan YQYQ-Nexstar Q2.xls</x:v>
      </x:c>
    </x:row>
    <x:row r="11" ht="25" customHeight="1">
      <x:c r="A11" s="3" t="n">
        <x:v>6</x:v>
      </x:c>
      <x:c r="B11" s="3" t="str">
        <x:v>NEXSTAR MEDIA GROUP, INC.</x:v>
      </x:c>
      <x:c r="C11" s="3" t="str">
        <x:v>2025-01-01~2025-06-30</x:v>
      </x:c>
      <x:c r="D11" s="3" t="str">
        <x:v>2025-06-30</x:v>
      </x:c>
      <x:c r="E11" s="3" t="str">
        <x:v>USD  thousand</x:v>
      </x:c>
      <x:c r="F11" s="3" t="str">
        <x:v>I</x:v>
      </x:c>
      <x:c r="G11" s="9" t="n">
        <x:v>234000</x:v>
      </x:c>
      <x:c r="H11" s="9"/>
      <x:c r="I11" s="9" t="n">
        <x:v>1022000</x:v>
      </x:c>
      <x:c r="J11" s="9" t="n">
        <x:v>823000</x:v>
      </x:c>
      <x:c r="K11" s="9"/>
      <x:c r="L11" s="9" t="n">
        <x:v>108000</x:v>
      </x:c>
      <x:c r="M11" s="9" t="n">
        <x:v>3563000</x:v>
      </x:c>
      <x:c r="N11" s="9" t="n">
        <x:v>2712000</x:v>
      </x:c>
      <x:c r="O11" s="9" t="n">
        <x:v>2462000</x:v>
      </x:c>
      <x:c r="P11" s="9" t="n">
        <x:v>1108000</x:v>
      </x:c>
      <x:c r="Q11" s="9" t="n">
        <x:v>1354000</x:v>
      </x:c>
      <x:c r="R11" s="9" t="n">
        <x:v>922000</x:v>
      </x:c>
      <x:c r="S11" s="9" t="n">
        <x:v>432000</x:v>
      </x:c>
      <x:c r="T11" s="9" t="n">
        <x:v>194000</x:v>
      </x:c>
      <x:c r="U11" s="9" t="n">
        <x:v>268000</x:v>
      </x:c>
      <x:c r="V11" s="9" t="n">
        <x:v>402000</x:v>
      </x:c>
      <x:c r="W11" s="10" t="n">
        <x:v>1.5261000000000002</x:v>
      </x:c>
      <x:c r="X11" s="10" t="n">
        <x:v>4.0213</x:v>
      </x:c>
      <x:c r="Y11" s="11" t="n">
        <x:v>4.45</x:v>
      </x:c>
      <x:c r="Z11" s="9" t="n">
        <x:v>6275000</x:v>
      </x:c>
      <x:c r="AA11" s="9" t="n">
        <x:v>9072000</x:v>
      </x:c>
      <x:c r="AB11" s="9" t="n">
        <x:v>2256000</x:v>
      </x:c>
      <x:c r="AC11" s="9" t="n">
        <x:v>11328000</x:v>
      </x:c>
      <x:c r="AD11" s="3" t="str">
        <x:v>/Users/yuntzuyu/Downloads/e-loan/Quarter/E-Loan YQYQ-Nexstar Q2.xls</x:v>
      </x:c>
    </x:row>
    <x:row r="12" ht="25" customHeight="1">
      <x:c r="A12" s="3" t="n">
        <x:v>7</x:v>
      </x:c>
      <x:c r="B12" s="3" t="str">
        <x:v>NEXSTAR MEDIA GROUP, INC.</x:v>
      </x:c>
      <x:c r="C12" s="3" t="str">
        <x:v>2025-01-01~2025-12-31</x:v>
      </x:c>
      <x:c r="D12" s="3" t="str">
        <x:v>2025-12-31</x:v>
      </x:c>
      <x:c r="E12" s="3" t="str">
        <x:v>USD  thousand</x:v>
      </x:c>
      <x:c r="F12" s="3" t="str">
        <x:v>M</x:v>
      </x:c>
      <x:c r="G12" s="9" t="n">
        <x:v>280000</x:v>
      </x:c>
      <x:c r="H12" s="9"/>
      <x:c r="I12" s="9" t="n">
        <x:v>1075000</x:v>
      </x:c>
      <x:c r="J12" s="9" t="n">
        <x:v>711000</x:v>
      </x:c>
      <x:c r="K12" s="9"/>
      <x:c r="L12" s="9" t="n">
        <x:v>111000</x:v>
      </x:c>
      <x:c r="M12" s="9" t="n">
        <x:v>3511000</x:v>
      </x:c>
      <x:c r="N12" s="9" t="n">
        <x:v>2711000</x:v>
      </x:c>
      <x:c r="O12" s="9" t="n">
        <x:v>4949000</x:v>
      </x:c>
      <x:c r="P12" s="9" t="n">
        <x:v>2235000</x:v>
      </x:c>
      <x:c r="Q12" s="9" t="n">
        <x:v>2714000</x:v>
      </x:c>
      <x:c r="R12" s="9" t="n">
        <x:v>1865000</x:v>
      </x:c>
      <x:c r="S12" s="9" t="n">
        <x:v>849000</x:v>
      </x:c>
      <x:c r="T12" s="9" t="n">
        <x:v>379000</x:v>
      </x:c>
      <x:c r="U12" s="9" t="n">
        <x:v>150000</x:v>
      </x:c>
      <x:c r="V12" s="9" t="n">
        <x:v>785000</x:v>
      </x:c>
      <x:c r="W12" s="10" t="n">
        <x:v>1.9058000000000002</x:v>
      </x:c>
      <x:c r="X12" s="10" t="n">
        <x:v>4.2599</x:v>
      </x:c>
      <x:c r="Y12" s="11" t="n">
        <x:v>3.47</x:v>
      </x:c>
      <x:c r="Z12" s="9" t="n">
        <x:v>6222000</x:v>
      </x:c>
      <x:c r="AA12" s="9" t="n">
        <x:v>8784000</x:v>
      </x:c>
      <x:c r="AB12" s="9" t="n">
        <x:v>2062000</x:v>
      </x:c>
      <x:c r="AC12" s="9" t="n">
        <x:v>10846000</x:v>
      </x:c>
      <x:c r="AD12" s="3" t="str">
        <x:v>/Users/yuntzuyu/Downloads/e-loan/Quarter/E-Loan YQYQ-Nexstar Q2.xls</x:v>
      </x:c>
    </x:row>
    <x:row r="13" ht="25" customHeight="1">
      <x:c r="A13" s="3" t="n">
        <x:v>8</x:v>
      </x:c>
      <x:c r="B13" s="3" t="str">
        <x:v>NEXSTAR MEDIA GROUP, INC.</x:v>
      </x:c>
      <x:c r="C13" s="3" t="str">
        <x:v>2026-01-01~2026-06-30</x:v>
      </x:c>
      <x:c r="D13" s="3" t="str">
        <x:v>2026-06-30</x:v>
      </x:c>
      <x:c r="E13" s="3" t="str">
        <x:v>USD  thousand</x:v>
      </x:c>
      <x:c r="F13" s="3" t="str">
        <x:v>R</x:v>
      </x:c>
      <x:c r="G13" s="9" t="n">
        <x:v>218000</x:v>
      </x:c>
      <x:c r="H13" s="9"/>
      <x:c r="I13" s="9" t="n">
        <x:v>1584000</x:v>
      </x:c>
      <x:c r="J13" s="9" t="n">
        <x:v>1284000</x:v>
      </x:c>
      <x:c r="K13" s="9"/>
      <x:c r="L13" s="9" t="n">
        <x:v>331000</x:v>
      </x:c>
      <x:c r="M13" s="9" t="n">
        <x:v>4798000</x:v>
      </x:c>
      <x:c r="N13" s="9" t="n">
        <x:v>6615000</x:v>
      </x:c>
      <x:c r="O13" s="9" t="n">
        <x:v>3389000</x:v>
      </x:c>
      <x:c r="P13" s="9" t="n">
        <x:v>1541000</x:v>
      </x:c>
      <x:c r="Q13" s="9" t="n">
        <x:v>1848000</x:v>
      </x:c>
      <x:c r="R13" s="9" t="n">
        <x:v>1221000</x:v>
      </x:c>
      <x:c r="S13" s="9" t="n">
        <x:v>627000</x:v>
      </x:c>
      <x:c r="T13" s="9" t="n">
        <x:v>309000</x:v>
      </x:c>
      <x:c r="U13" s="9" t="n">
        <x:v>330000</x:v>
      </x:c>
      <x:c r="V13" s="9" t="n">
        <x:v>438000</x:v>
      </x:c>
      <x:c r="W13" s="10" t="n">
        <x:v>1.4034</x:v>
      </x:c>
      <x:c r="X13" s="10" t="n">
        <x:v>6.8246</x:v>
      </x:c>
      <x:c r="Y13" s="11" t="n">
        <x:v>3.49</x:v>
      </x:c>
      <x:c r="Z13" s="9" t="n">
        <x:v>11413000</x:v>
      </x:c>
      <x:c r="AA13" s="9" t="n">
        <x:v>15451000</x:v>
      </x:c>
      <x:c r="AB13" s="9" t="n">
        <x:v>2264000</x:v>
      </x:c>
      <x:c r="AC13" s="9" t="n">
        <x:v>17715000</x:v>
      </x:c>
      <x:c r="AD13" s="3" t="str">
        <x:v>/Users/yuntzuyu/Downloads/e-loan/Quarter/E-Loan YQYQ-Nexstar Q2.xls</x:v>
      </x:c>
    </x:row>
    <x:row r="14" ht="25" customHeight="1">
      <x:c r="A14" s="3" t="n">
        <x:v>9</x:v>
      </x:c>
      <x:c r="B14" s="3" t="str">
        <x:v>CROCS, INC.</x:v>
      </x:c>
      <x:c r="C14" s="3" t="str">
        <x:v>2024-01-01~2024-12-31</x:v>
      </x:c>
      <x:c r="D14" s="3" t="str">
        <x:v>2024-12-31</x:v>
      </x:c>
      <x:c r="E14" s="3" t="str">
        <x:v>USD  thousand</x:v>
      </x:c>
      <x:c r="F14" s="3" t="str">
        <x:v>D</x:v>
      </x:c>
      <x:c r="G14" s="9" t="n">
        <x:v>180485</x:v>
      </x:c>
      <x:c r="H14" s="9"/>
      <x:c r="I14" s="9" t="n">
        <x:v>257657</x:v>
      </x:c>
      <x:c r="J14" s="9" t="n">
        <x:v>740208</x:v>
      </x:c>
      <x:c r="K14" s="9"/>
      <x:c r="L14" s="9" t="n">
        <x:v>0</x:v>
      </x:c>
      <x:c r="M14" s="9" t="n">
        <x:v>690000</x:v>
      </x:c>
      <x:c r="N14" s="9" t="n">
        <x:v>659339</x:v>
      </x:c>
      <x:c r="O14" s="9" t="n">
        <x:v>4102108</x:v>
      </x:c>
      <x:c r="P14" s="9" t="n">
        <x:v>1691850</x:v>
      </x:c>
      <x:c r="Q14" s="9" t="n">
        <x:v>2410258</x:v>
      </x:c>
      <x:c r="R14" s="9" t="n">
        <x:v>1388347</x:v>
      </x:c>
      <x:c r="S14" s="9" t="n">
        <x:v>1021911</x:v>
      </x:c>
      <x:c r="T14" s="9" t="n">
        <x:v>109264</x:v>
      </x:c>
      <x:c r="U14" s="9" t="n">
        <x:v>910585</x:v>
      </x:c>
      <x:c r="V14" s="9" t="n">
        <x:v>69840</x:v>
      </x:c>
      <x:c r="W14" s="10" t="n">
        <x:v>0.5919</x:v>
      </x:c>
      <x:c r="X14" s="10" t="n">
        <x:v>1.6214</x:v>
      </x:c>
      <x:c r="Y14" s="11" t="n">
        <x:v>9.97</x:v>
      </x:c>
      <x:c r="Z14" s="9" t="n">
        <x:v>1349339</x:v>
      </x:c>
      <x:c r="AA14" s="9" t="n">
        <x:v>2976421</x:v>
      </x:c>
      <x:c r="AB14" s="9" t="n">
        <x:v>1835732</x:v>
      </x:c>
      <x:c r="AC14" s="9" t="n">
        <x:v>4812153</x:v>
      </x:c>
      <x:c r="AD14" s="3" t="str">
        <x:v>/Users/yuntzuyu/Downloads/e-loan/Quarter/e-Loan YQYQ-CROX Q2.xls</x:v>
      </x:c>
    </x:row>
    <x:row r="15" ht="25" customHeight="1">
      <x:c r="A15" s="3" t="n">
        <x:v>10</x:v>
      </x:c>
      <x:c r="B15" s="3" t="str">
        <x:v>CROCS, INC.</x:v>
      </x:c>
      <x:c r="C15" s="3" t="str">
        <x:v>2025-01-01~2025-06-30</x:v>
      </x:c>
      <x:c r="D15" s="3" t="str">
        <x:v>2025-06-30</x:v>
      </x:c>
      <x:c r="E15" s="3" t="str">
        <x:v>USD  thousand</x:v>
      </x:c>
      <x:c r="F15" s="3" t="str">
        <x:v>I</x:v>
      </x:c>
      <x:c r="G15" s="9" t="n">
        <x:v>200611</x:v>
      </x:c>
      <x:c r="H15" s="9"/>
      <x:c r="I15" s="9" t="n">
        <x:v>417426</x:v>
      </x:c>
      <x:c r="J15" s="9" t="n">
        <x:v>714849</x:v>
      </x:c>
      <x:c r="K15" s="9"/>
      <x:c r="L15" s="9" t="n">
        <x:v>0</x:v>
      </x:c>
      <x:c r="M15" s="9" t="n">
        <x:v>715000</x:v>
      </x:c>
      <x:c r="N15" s="9" t="n">
        <x:v>664112</x:v>
      </x:c>
      <x:c r="O15" s="9" t="n">
        <x:v>2086706</x:v>
      </x:c>
      <x:c r="P15" s="9" t="n">
        <x:v>836321</x:v>
      </x:c>
      <x:c r="Q15" s="9" t="n">
        <x:v>1250385</x:v>
      </x:c>
      <x:c r="R15" s="9" t="n">
        <x:v>1454927</x:v>
      </x:c>
      <x:c r="S15" s="9" t="n">
        <x:v>-204542</x:v>
      </x:c>
      <x:c r="T15" s="9" t="n">
        <x:v>45289</x:v>
      </x:c>
      <x:c r="U15" s="9" t="n">
        <x:v>-243972</x:v>
      </x:c>
      <x:c r="V15" s="9" t="n">
        <x:v>18537</x:v>
      </x:c>
      <x:c r="W15" s="10" t="n">
        <x:v>0.8645999999999999</x:v>
      </x:c>
      <x:c r="X15" s="10" t="n">
        <x:v>2.1317</x:v>
      </x:c>
      <x:c r="Y15" s="11" t="n">
        <x:v>-3.98</x:v>
      </x:c>
      <x:c r="Z15" s="9" t="n">
        <x:v>1379112</x:v>
      </x:c>
      <x:c r="AA15" s="9" t="n">
        <x:v>3029429</x:v>
      </x:c>
      <x:c r="AB15" s="9" t="n">
        <x:v>1421137</x:v>
      </x:c>
      <x:c r="AC15" s="9" t="n">
        <x:v>4450566</x:v>
      </x:c>
      <x:c r="AD15" s="3" t="str">
        <x:v>/Users/yuntzuyu/Downloads/e-loan/Quarter/e-Loan YQYQ-CROX Q2.xls</x:v>
      </x:c>
    </x:row>
    <x:row r="16" ht="25" customHeight="1">
      <x:c r="A16" s="3" t="n">
        <x:v>11</x:v>
      </x:c>
      <x:c r="B16" s="3" t="str">
        <x:v>CROCS, INC.</x:v>
      </x:c>
      <x:c r="C16" s="3" t="str">
        <x:v>2025-01-01~2025-12-31</x:v>
      </x:c>
      <x:c r="D16" s="3" t="str">
        <x:v>2025-12-31</x:v>
      </x:c>
      <x:c r="E16" s="3" t="str">
        <x:v>USD  thousand</x:v>
      </x:c>
      <x:c r="F16" s="3" t="str">
        <x:v>M</x:v>
      </x:c>
      <x:c r="G16" s="9" t="n">
        <x:v>130354</x:v>
      </x:c>
      <x:c r="H16" s="9"/>
      <x:c r="I16" s="9" t="n">
        <x:v>278191</x:v>
      </x:c>
      <x:c r="J16" s="9" t="n">
        <x:v>700129</x:v>
      </x:c>
      <x:c r="K16" s="9"/>
      <x:c r="L16" s="9" t="n">
        <x:v>0</x:v>
      </x:c>
      <x:c r="M16" s="9" t="n">
        <x:v>562000</x:v>
      </x:c>
      <x:c r="N16" s="9" t="n">
        <x:v>668885</x:v>
      </x:c>
      <x:c r="O16" s="9" t="n">
        <x:v>4040647</x:v>
      </x:c>
      <x:c r="P16" s="9" t="n">
        <x:v>1683592</x:v>
      </x:c>
      <x:c r="Q16" s="9" t="n">
        <x:v>2357055</x:v>
      </x:c>
      <x:c r="R16" s="9" t="n">
        <x:v>2207540</x:v>
      </x:c>
      <x:c r="S16" s="9" t="n">
        <x:v>149515</x:v>
      </x:c>
      <x:c r="T16" s="9" t="n">
        <x:v>88287</x:v>
      </x:c>
      <x:c r="U16" s="9" t="n">
        <x:v>72978</x:v>
      </x:c>
      <x:c r="V16" s="9" t="n">
        <x:v>79282</x:v>
      </x:c>
      <x:c r="W16" s="10" t="n">
        <x:v>0.5835</x:v>
      </x:c>
      <x:c r="X16" s="10" t="n">
        <x:v>2.228</x:v>
      </x:c>
      <x:c r="Y16" s="11" t="n">
        <x:v>2.72</x:v>
      </x:c>
      <x:c r="Z16" s="9" t="n">
        <x:v>1230885</x:v>
      </x:c>
      <x:c r="AA16" s="9" t="n">
        <x:v>2881467</x:v>
      </x:c>
      <x:c r="AB16" s="9" t="n">
        <x:v>1293283</x:v>
      </x:c>
      <x:c r="AC16" s="9" t="n">
        <x:v>4174750</x:v>
      </x:c>
      <x:c r="AD16" s="3" t="str">
        <x:v>/Users/yuntzuyu/Downloads/e-loan/Quarter/e-Loan YQYQ-CROX Q2.xls</x:v>
      </x:c>
    </x:row>
    <x:row r="17" ht="25" customHeight="1">
      <x:c r="A17" s="3" t="n">
        <x:v>12</x:v>
      </x:c>
      <x:c r="B17" s="3" t="str">
        <x:v>CROCS, INC.</x:v>
      </x:c>
      <x:c r="C17" s="3" t="str">
        <x:v>2026-01-01~2026-06-30</x:v>
      </x:c>
      <x:c r="D17" s="3" t="str">
        <x:v>2026-06-30</x:v>
      </x:c>
      <x:c r="E17" s="3" t="str">
        <x:v>USD  thousand</x:v>
      </x:c>
      <x:c r="F17" s="3" t="str">
        <x:v>R</x:v>
      </x:c>
      <x:c r="G17" s="9" t="n">
        <x:v>170276</x:v>
      </x:c>
      <x:c r="H17" s="9"/>
      <x:c r="I17" s="9" t="n">
        <x:v>430297</x:v>
      </x:c>
      <x:c r="J17" s="9" t="n">
        <x:v>728029</x:v>
      </x:c>
      <x:c r="K17" s="9"/>
      <x:c r="L17" s="9" t="n">
        <x:v>0</x:v>
      </x:c>
      <x:c r="M17" s="9" t="n">
        <x:v>634000</x:v>
      </x:c>
      <x:c r="N17" s="9" t="n">
        <x:v>673658</x:v>
      </x:c>
      <x:c r="O17" s="9" t="n">
        <x:v>2100925</x:v>
      </x:c>
      <x:c r="P17" s="9" t="n">
        <x:v>877273</x:v>
      </x:c>
      <x:c r="Q17" s="9" t="n">
        <x:v>1223652</x:v>
      </x:c>
      <x:c r="R17" s="9" t="n">
        <x:v>737130</x:v>
      </x:c>
      <x:c r="S17" s="9" t="n">
        <x:v>486522</x:v>
      </x:c>
      <x:c r="T17" s="9" t="n">
        <x:v>40368</x:v>
      </x:c>
      <x:c r="U17" s="9" t="n">
        <x:v>442767</x:v>
      </x:c>
      <x:c r="V17" s="9" t="n">
        <x:v>40286</x:v>
      </x:c>
      <x:c r="W17" s="10" t="n">
        <x:v>0.8249</x:v>
      </x:c>
      <x:c r="X17" s="10" t="n">
        <x:v>2.1461</x:v>
      </x:c>
      <x:c r="Y17" s="11" t="n">
        <x:v>12.97</x:v>
      </x:c>
      <x:c r="Z17" s="9" t="n">
        <x:v>1307658</x:v>
      </x:c>
      <x:c r="AA17" s="9" t="n">
        <x:v>2971605</x:v>
      </x:c>
      <x:c r="AB17" s="9" t="n">
        <x:v>1384674</x:v>
      </x:c>
      <x:c r="AC17" s="9" t="n">
        <x:v>4356279</x:v>
      </x:c>
      <x:c r="AD17" s="3" t="str">
        <x:v>/Users/yuntzuyu/Downloads/e-loan/Quarter/e-Loan YQYQ-CROX Q2.xls</x:v>
      </x:c>
    </x:row>
    <x:row r="18" ht="25" customHeight="1">
      <x:c r="A18" s="3" t="n">
        <x:v>13</x:v>
      </x:c>
      <x:c r="B18" s="3" t="str">
        <x:v>INSULET CORPORATION</x:v>
      </x:c>
      <x:c r="C18" s="3" t="str">
        <x:v>2024-01-01~2024-12-31</x:v>
      </x:c>
      <x:c r="D18" s="3" t="str">
        <x:v>2024-12-31</x:v>
      </x:c>
      <x:c r="E18" s="3" t="str">
        <x:v>USD  million</x:v>
      </x:c>
      <x:c r="F18" s="3" t="str">
        <x:v>D</x:v>
      </x:c>
      <x:c r="G18" s="9" t="n">
        <x:v>953</x:v>
      </x:c>
      <x:c r="H18" s="9"/>
      <x:c r="I18" s="9" t="n">
        <x:v>366</x:v>
      </x:c>
      <x:c r="J18" s="9" t="n">
        <x:v>529</x:v>
      </x:c>
      <x:c r="K18" s="9"/>
      <x:c r="L18" s="9" t="n">
        <x:v>84</x:v>
      </x:c>
      <x:c r="M18" s="9" t="n">
        <x:v>483</x:v>
      </x:c>
      <x:c r="N18" s="9" t="n">
        <x:v>787</x:v>
      </x:c>
      <x:c r="O18" s="9" t="n">
        <x:v>2072</x:v>
      </x:c>
      <x:c r="P18" s="9" t="n">
        <x:v>626</x:v>
      </x:c>
      <x:c r="Q18" s="9" t="n">
        <x:v>1446</x:v>
      </x:c>
      <x:c r="R18" s="9" t="n">
        <x:v>1137</x:v>
      </x:c>
      <x:c r="S18" s="9" t="n">
        <x:v>309</x:v>
      </x:c>
      <x:c r="T18" s="9" t="n">
        <x:v>43</x:v>
      </x:c>
      <x:c r="U18" s="9" t="n">
        <x:v>300</x:v>
      </x:c>
      <x:c r="V18" s="9" t="n">
        <x:v>81</x:v>
      </x:c>
      <x:c r="W18" s="10" t="n">
        <x:v>2.4934</x:v>
      </x:c>
      <x:c r="X18" s="10" t="n">
        <x:v>1.5478999999999998</x:v>
      </x:c>
      <x:c r="Y18" s="11" t="n">
        <x:v>9.86</x:v>
      </x:c>
      <x:c r="Z18" s="9" t="n">
        <x:v>1296</x:v>
      </x:c>
      <x:c r="AA18" s="9" t="n">
        <x:v>1876</x:v>
      </x:c>
      <x:c r="AB18" s="9" t="n">
        <x:v>1212</x:v>
      </x:c>
      <x:c r="AC18" s="9" t="n">
        <x:v>3088</x:v>
      </x:c>
      <x:c r="AD18" s="3" t="str">
        <x:v>/Users/yuntzuyu/Downloads/e-loan/Quarter/e-Loan YQYQ-Insulet Q2.xls</x:v>
      </x:c>
    </x:row>
    <x:row r="19" ht="25" customHeight="1">
      <x:c r="A19" s="3" t="n">
        <x:v>14</x:v>
      </x:c>
      <x:c r="B19" s="3" t="str">
        <x:v>INSULET CORPORATION</x:v>
      </x:c>
      <x:c r="C19" s="3" t="str">
        <x:v>2025-01-01~2025-06-30</x:v>
      </x:c>
      <x:c r="D19" s="3" t="str">
        <x:v>2025-06-30</x:v>
      </x:c>
      <x:c r="E19" s="3" t="str">
        <x:v>USD  million</x:v>
      </x:c>
      <x:c r="F19" s="3" t="str">
        <x:v>I</x:v>
      </x:c>
      <x:c r="G19" s="9" t="n">
        <x:v>1122</x:v>
      </x:c>
      <x:c r="H19" s="9"/>
      <x:c r="I19" s="9" t="n">
        <x:v>444</x:v>
      </x:c>
      <x:c r="J19" s="9" t="n">
        <x:v>1010</x:v>
      </x:c>
      <x:c r="K19" s="9"/>
      <x:c r="L19" s="9" t="n">
        <x:v>461</x:v>
      </x:c>
      <x:c r="M19" s="9" t="n">
        <x:v>480</x:v>
      </x:c>
      <x:c r="N19" s="9" t="n">
        <x:v>436</x:v>
      </x:c>
      <x:c r="O19" s="9" t="n">
        <x:v>1218</x:v>
      </x:c>
      <x:c r="P19" s="9" t="n">
        <x:v>357</x:v>
      </x:c>
      <x:c r="Q19" s="9" t="n">
        <x:v>861</x:v>
      </x:c>
      <x:c r="R19" s="9" t="n">
        <x:v>651</x:v>
      </x:c>
      <x:c r="S19" s="9" t="n">
        <x:v>210</x:v>
      </x:c>
      <x:c r="T19" s="9" t="n">
        <x:v>29</x:v>
      </x:c>
      <x:c r="U19" s="9" t="n">
        <x:v>76</x:v>
      </x:c>
      <x:c r="V19" s="9" t="n">
        <x:v>44</x:v>
      </x:c>
      <x:c r="W19" s="10" t="n">
        <x:v>1.5505000000000002</x:v>
      </x:c>
      <x:c r="X19" s="10" t="n">
        <x:v>1.3712</x:v>
      </x:c>
      <x:c r="Y19" s="11" t="n">
        <x:v>5.14</x:v>
      </x:c>
      <x:c r="Z19" s="9" t="n">
        <x:v>939</x:v>
      </x:c>
      <x:c r="AA19" s="9" t="n">
        <x:v>2006</x:v>
      </x:c>
      <x:c r="AB19" s="9" t="n">
        <x:v>1463</x:v>
      </x:c>
      <x:c r="AC19" s="9" t="n">
        <x:v>3469</x:v>
      </x:c>
      <x:c r="AD19" s="3" t="str">
        <x:v>/Users/yuntzuyu/Downloads/e-loan/Quarter/e-Loan YQYQ-Insulet Q2.xls</x:v>
      </x:c>
    </x:row>
    <x:row r="20" ht="25" customHeight="1">
      <x:c r="A20" s="3" t="n">
        <x:v>15</x:v>
      </x:c>
      <x:c r="B20" s="3" t="str">
        <x:v>INSULET CORPORATION</x:v>
      </x:c>
      <x:c r="C20" s="3" t="str">
        <x:v>2025-01-01~2025-12-31</x:v>
      </x:c>
      <x:c r="D20" s="3" t="str">
        <x:v>2025-12-31</x:v>
      </x:c>
      <x:c r="E20" s="3" t="str">
        <x:v>USD  million</x:v>
      </x:c>
      <x:c r="F20" s="3" t="str">
        <x:v>M</x:v>
      </x:c>
      <x:c r="G20" s="9" t="n">
        <x:v>716</x:v>
      </x:c>
      <x:c r="H20" s="9"/>
      <x:c r="I20" s="9" t="n">
        <x:v>517</x:v>
      </x:c>
      <x:c r="J20" s="9" t="n">
        <x:v>680</x:v>
      </x:c>
      <x:c r="K20" s="9"/>
      <x:c r="L20" s="9" t="n">
        <x:v>18</x:v>
      </x:c>
      <x:c r="M20" s="9" t="n">
        <x:v>478</x:v>
      </x:c>
      <x:c r="N20" s="9" t="n">
        <x:v>437</x:v>
      </x:c>
      <x:c r="O20" s="9" t="n">
        <x:v>2708</x:v>
      </x:c>
      <x:c r="P20" s="9" t="n">
        <x:v>768</x:v>
      </x:c>
      <x:c r="Q20" s="9" t="n">
        <x:v>1940</x:v>
      </x:c>
      <x:c r="R20" s="9" t="n">
        <x:v>1466</x:v>
      </x:c>
      <x:c r="S20" s="9" t="n">
        <x:v>474</x:v>
      </x:c>
      <x:c r="T20" s="9" t="n">
        <x:v>60</x:v>
      </x:c>
      <x:c r="U20" s="9" t="n">
        <x:v>339</x:v>
      </x:c>
      <x:c r="V20" s="9" t="n">
        <x:v>90</x:v>
      </x:c>
      <x:c r="W20" s="10" t="n">
        <x:v>1.8132</x:v>
      </x:c>
      <x:c r="X20" s="10" t="n">
        <x:v>1.1056</x:v>
      </x:c>
      <x:c r="Y20" s="11" t="n">
        <x:v>8.15</x:v>
      </x:c>
      <x:c r="Z20" s="9" t="n">
        <x:v>932</x:v>
      </x:c>
      <x:c r="AA20" s="9" t="n">
        <x:v>1675</x:v>
      </x:c>
      <x:c r="AB20" s="9" t="n">
        <x:v>1515</x:v>
      </x:c>
      <x:c r="AC20" s="9" t="n">
        <x:v>3190</x:v>
      </x:c>
      <x:c r="AD20" s="3" t="str">
        <x:v>/Users/yuntzuyu/Downloads/e-loan/Quarter/e-Loan YQYQ-Insulet Q2.xls</x:v>
      </x:c>
    </x:row>
    <x:row r="21" ht="25" customHeight="1">
      <x:c r="A21" s="3" t="n">
        <x:v>16</x:v>
      </x:c>
      <x:c r="B21" s="3" t="str">
        <x:v>INSULET CORPORATION</x:v>
      </x:c>
      <x:c r="C21" s="3" t="str">
        <x:v>2026-01-01~2026-06-30</x:v>
      </x:c>
      <x:c r="D21" s="3" t="str">
        <x:v>2026-06-30</x:v>
      </x:c>
      <x:c r="E21" s="3" t="str">
        <x:v>USD  million</x:v>
      </x:c>
      <x:c r="F21" s="3" t="str">
        <x:v>R</x:v>
      </x:c>
      <x:c r="G21" s="9" t="n">
        <x:v>535</x:v>
      </x:c>
      <x:c r="H21" s="9"/>
      <x:c r="I21" s="9" t="n">
        <x:v>589</x:v>
      </x:c>
      <x:c r="J21" s="9" t="n">
        <x:v>744</x:v>
      </x:c>
      <x:c r="K21" s="9"/>
      <x:c r="L21" s="9" t="n">
        <x:v>19</x:v>
      </x:c>
      <x:c r="M21" s="9" t="n">
        <x:v>475</x:v>
      </x:c>
      <x:c r="N21" s="9" t="n">
        <x:v>438</x:v>
      </x:c>
      <x:c r="O21" s="9" t="n">
        <x:v>1563</x:v>
      </x:c>
      <x:c r="P21" s="9" t="n">
        <x:v>472</x:v>
      </x:c>
      <x:c r="Q21" s="9" t="n">
        <x:v>1091</x:v>
      </x:c>
      <x:c r="R21" s="9" t="n">
        <x:v>840</x:v>
      </x:c>
      <x:c r="S21" s="9" t="n">
        <x:v>251</x:v>
      </x:c>
      <x:c r="T21" s="9" t="n">
        <x:v>28</x:v>
      </x:c>
      <x:c r="U21" s="9" t="n">
        <x:v>232</x:v>
      </x:c>
      <x:c r="V21" s="9" t="n">
        <x:v>53</x:v>
      </x:c>
      <x:c r="W21" s="10" t="n">
        <x:v>1.5108000000000001</x:v>
      </x:c>
      <x:c r="X21" s="10" t="n">
        <x:v>1.2257</x:v>
      </x:c>
      <x:c r="Y21" s="11" t="n">
        <x:v>11.18</x:v>
      </x:c>
      <x:c r="Z21" s="9" t="n">
        <x:v>930</x:v>
      </x:c>
      <x:c r="AA21" s="9" t="n">
        <x:v>1743</x:v>
      </x:c>
      <x:c r="AB21" s="9" t="n">
        <x:v>1422</x:v>
      </x:c>
      <x:c r="AC21" s="9" t="n">
        <x:v>3165</x:v>
      </x:c>
      <x:c r="AD21" s="3" t="str">
        <x:v>/Users/yuntzuyu/Downloads/e-loan/Quarter/e-Loan YQYQ-Insulet Q2.xls</x:v>
      </x:c>
    </x:row>
    <x:row r="22" ht="25" customHeight="1">
      <x:c r="A22" s="3" t="n">
        <x:v>17</x:v>
      </x:c>
      <x:c r="B22" s="3" t="str">
        <x:v>TRANSUNION</x:v>
      </x:c>
      <x:c r="C22" s="3" t="str">
        <x:v>2024-01-01~2024-12-31</x:v>
      </x:c>
      <x:c r="D22" s="3" t="str">
        <x:v>2024-12-31</x:v>
      </x:c>
      <x:c r="E22" s="3" t="str">
        <x:v>USD  million</x:v>
      </x:c>
      <x:c r="F22" s="3" t="str">
        <x:v>D</x:v>
      </x:c>
      <x:c r="G22" s="9" t="n">
        <x:v>680</x:v>
      </x:c>
      <x:c r="H22" s="9"/>
      <x:c r="I22" s="9" t="n">
        <x:v>799</x:v>
      </x:c>
      <x:c r="J22" s="9" t="n">
        <x:v>1060</x:v>
      </x:c>
      <x:c r="K22" s="9"/>
      <x:c r="L22" s="9" t="n">
        <x:v>71</x:v>
      </x:c>
      <x:c r="M22" s="9" t="n">
        <x:v>5077</x:v>
      </x:c>
      <x:c r="N22" s="9" t="n">
        <x:v>0</x:v>
      </x:c>
      <x:c r="O22" s="9" t="n">
        <x:v>4184</x:v>
      </x:c>
      <x:c r="P22" s="9" t="n">
        <x:v>1673</x:v>
      </x:c>
      <x:c r="Q22" s="9" t="n">
        <x:v>2511</x:v>
      </x:c>
      <x:c r="R22" s="9" t="n">
        <x:v>1844</x:v>
      </x:c>
      <x:c r="S22" s="9" t="n">
        <x:v>667</x:v>
      </x:c>
      <x:c r="T22" s="9" t="n">
        <x:v>265</x:v>
      </x:c>
      <x:c r="U22" s="9" t="n">
        <x:v>401</x:v>
      </x:c>
      <x:c r="V22" s="9" t="n">
        <x:v>524</x:v>
      </x:c>
      <x:c r="W22" s="10" t="n">
        <x:v>1.3953</x:v>
      </x:c>
      <x:c r="X22" s="10" t="n">
        <x:v>1.5444</x:v>
      </x:c>
      <x:c r="Y22" s="11" t="n">
        <x:v>4.49</x:v>
      </x:c>
      <x:c r="Z22" s="9" t="n">
        <x:v>5077</x:v>
      </x:c>
      <x:c r="AA22" s="9" t="n">
        <x:v>6667</x:v>
      </x:c>
      <x:c r="AB22" s="9" t="n">
        <x:v>4317</x:v>
      </x:c>
      <x:c r="AC22" s="9" t="n">
        <x:v>10984</x:v>
      </x:c>
      <x:c r="AD22" s="3" t="str">
        <x:v>/Users/yuntzuyu/Downloads/e-loan/Quarter/e-Loan YQYQ-TransUnion Q1.xls</x:v>
      </x:c>
    </x:row>
    <x:row r="23" ht="25" customHeight="1">
      <x:c r="A23" s="3" t="n">
        <x:v>18</x:v>
      </x:c>
      <x:c r="B23" s="3" t="str">
        <x:v>TRANSUNION</x:v>
      </x:c>
      <x:c r="C23" s="3" t="str">
        <x:v>2025-01-01~2025-03-31</x:v>
      </x:c>
      <x:c r="D23" s="3" t="str">
        <x:v>2025-03-31</x:v>
      </x:c>
      <x:c r="E23" s="3" t="str">
        <x:v>USD  million</x:v>
      </x:c>
      <x:c r="F23" s="3" t="str">
        <x:v>I</x:v>
      </x:c>
      <x:c r="G23" s="9" t="n">
        <x:v>610</x:v>
      </x:c>
      <x:c r="H23" s="9"/>
      <x:c r="I23" s="9" t="n">
        <x:v>882</x:v>
      </x:c>
      <x:c r="J23" s="9" t="n">
        <x:v>889</x:v>
      </x:c>
      <x:c r="K23" s="9"/>
      <x:c r="L23" s="9" t="n">
        <x:v>71</x:v>
      </x:c>
      <x:c r="M23" s="9" t="n">
        <x:v>5060</x:v>
      </x:c>
      <x:c r="N23" s="9" t="n">
        <x:v>0</x:v>
      </x:c>
      <x:c r="O23" s="9" t="n">
        <x:v>1096</x:v>
      </x:c>
      <x:c r="P23" s="9" t="n">
        <x:v>446</x:v>
      </x:c>
      <x:c r="Q23" s="9" t="n">
        <x:v>650</x:v>
      </x:c>
      <x:c r="R23" s="9" t="n">
        <x:v>396</x:v>
      </x:c>
      <x:c r="S23" s="9" t="n">
        <x:v>254</x:v>
      </x:c>
      <x:c r="T23" s="9" t="n">
        <x:v>56</x:v>
      </x:c>
      <x:c r="U23" s="9" t="n">
        <x:v>194</x:v>
      </x:c>
      <x:c r="V23" s="9" t="n">
        <x:v>139</x:v>
      </x:c>
      <x:c r="W23" s="10" t="n">
        <x:v>1.6783000000000001</x:v>
      </x:c>
      <x:c r="X23" s="10" t="n">
        <x:v>1.4374</x:v>
      </x:c>
      <x:c r="Y23" s="11" t="n">
        <x:v>6.95</x:v>
      </x:c>
      <x:c r="Z23" s="9" t="n">
        <x:v>5060</x:v>
      </x:c>
      <x:c r="AA23" s="9" t="n">
        <x:v>6457</x:v>
      </x:c>
      <x:c r="AB23" s="9" t="n">
        <x:v>4492</x:v>
      </x:c>
      <x:c r="AC23" s="9" t="n">
        <x:v>10949</x:v>
      </x:c>
      <x:c r="AD23" s="3" t="str">
        <x:v>/Users/yuntzuyu/Downloads/e-loan/Quarter/e-Loan YQYQ-TransUnion Q1.xls</x:v>
      </x:c>
    </x:row>
    <x:row r="24" ht="25" customHeight="1">
      <x:c r="A24" s="3" t="n">
        <x:v>19</x:v>
      </x:c>
      <x:c r="B24" s="3" t="str">
        <x:v>TRANSUNION</x:v>
      </x:c>
      <x:c r="C24" s="3" t="str">
        <x:v>2025-01-01~2025-12-31</x:v>
      </x:c>
      <x:c r="D24" s="3" t="str">
        <x:v>2025-12-31</x:v>
      </x:c>
      <x:c r="E24" s="3" t="str">
        <x:v>USD  million</x:v>
      </x:c>
      <x:c r="F24" s="3" t="str">
        <x:v>M</x:v>
      </x:c>
      <x:c r="G24" s="9" t="n">
        <x:v>853</x:v>
      </x:c>
      <x:c r="H24" s="9"/>
      <x:c r="I24" s="9" t="n">
        <x:v>905</x:v>
      </x:c>
      <x:c r="J24" s="9" t="n">
        <x:v>1155</x:v>
      </x:c>
      <x:c r="K24" s="9"/>
      <x:c r="L24" s="9" t="n">
        <x:v>197</x:v>
      </x:c>
      <x:c r="M24" s="9" t="n">
        <x:v>4907</x:v>
      </x:c>
      <x:c r="N24" s="9" t="n">
        <x:v>0</x:v>
      </x:c>
      <x:c r="O24" s="9" t="n">
        <x:v>4576</x:v>
      </x:c>
      <x:c r="P24" s="9" t="n">
        <x:v>1872</x:v>
      </x:c>
      <x:c r="Q24" s="9" t="n">
        <x:v>2704</x:v>
      </x:c>
      <x:c r="R24" s="9" t="n">
        <x:v>1846</x:v>
      </x:c>
      <x:c r="S24" s="9" t="n">
        <x:v>858</x:v>
      </x:c>
      <x:c r="T24" s="9" t="n">
        <x:v>236</x:v>
      </x:c>
      <x:c r="U24" s="9" t="n">
        <x:v>643</x:v>
      </x:c>
      <x:c r="V24" s="9" t="n">
        <x:v>545</x:v>
      </x:c>
      <x:c r="W24" s="10" t="n">
        <x:v>1.5221</x:v>
      </x:c>
      <x:c r="X24" s="10" t="n">
        <x:v>1.4450999999999998</x:v>
      </x:c>
      <x:c r="Y24" s="11" t="n">
        <x:v>6.03</x:v>
      </x:c>
      <x:c r="Z24" s="9" t="n">
        <x:v>4907</x:v>
      </x:c>
      <x:c r="AA24" s="9" t="n">
        <x:v>6568</x:v>
      </x:c>
      <x:c r="AB24" s="9" t="n">
        <x:v>4545</x:v>
      </x:c>
      <x:c r="AC24" s="9" t="n">
        <x:v>11113</x:v>
      </x:c>
      <x:c r="AD24" s="3" t="str">
        <x:v>/Users/yuntzuyu/Downloads/e-loan/Quarter/e-Loan YQYQ-TransUnion Q1.xls</x:v>
      </x:c>
    </x:row>
    <x:row r="25" ht="25" customHeight="1">
      <x:c r="A25" s="3" t="n">
        <x:v>20</x:v>
      </x:c>
      <x:c r="B25" s="3" t="str">
        <x:v>TRANSUNION</x:v>
      </x:c>
      <x:c r="C25" s="3" t="str">
        <x:v>2026-01-01~2026-03-31</x:v>
      </x:c>
      <x:c r="D25" s="3" t="str">
        <x:v>2026-03-31</x:v>
      </x:c>
      <x:c r="E25" s="3" t="str">
        <x:v>USD  million</x:v>
      </x:c>
      <x:c r="F25" s="3" t="str">
        <x:v>R</x:v>
      </x:c>
      <x:c r="G25" s="9" t="n">
        <x:v>732</x:v>
      </x:c>
      <x:c r="H25" s="9"/>
      <x:c r="I25" s="9" t="n">
        <x:v>1047</x:v>
      </x:c>
      <x:c r="J25" s="9" t="n">
        <x:v>1046</x:v>
      </x:c>
      <x:c r="K25" s="9"/>
      <x:c r="L25" s="9" t="n">
        <x:v>205</x:v>
      </x:c>
      <x:c r="M25" s="9" t="n">
        <x:v>5402</x:v>
      </x:c>
      <x:c r="N25" s="9"/>
      <x:c r="O25" s="9" t="n">
        <x:v>1246</x:v>
      </x:c>
      <x:c r="P25" s="9" t="n">
        <x:v>520</x:v>
      </x:c>
      <x:c r="Q25" s="9" t="n">
        <x:v>726</x:v>
      </x:c>
      <x:c r="R25" s="9" t="n">
        <x:v>481</x:v>
      </x:c>
      <x:c r="S25" s="9" t="n">
        <x:v>245</x:v>
      </x:c>
      <x:c r="T25" s="9" t="n">
        <x:v>62</x:v>
      </x:c>
      <x:c r="U25" s="9" t="n">
        <x:v>428</x:v>
      </x:c>
      <x:c r="V25" s="9" t="n">
        <x:v>152</x:v>
      </x:c>
      <x:c r="W25" s="10" t="n">
        <x:v>1.7008</x:v>
      </x:c>
      <x:c r="X25" s="10" t="n">
        <x:v>1.4516</x:v>
      </x:c>
      <x:c r="Y25" s="11" t="n">
        <x:v>10.35</x:v>
      </x:c>
      <x:c r="Z25" s="9" t="n">
        <x:v>5402</x:v>
      </x:c>
      <x:c r="AA25" s="9" t="n">
        <x:v>7133</x:v>
      </x:c>
      <x:c r="AB25" s="9" t="n">
        <x:v>4914</x:v>
      </x:c>
      <x:c r="AC25" s="9" t="n">
        <x:v>12047</x:v>
      </x:c>
      <x:c r="AD25" s="3" t="str">
        <x:v>/Users/yuntzuyu/Downloads/e-loan/Quarter/e-Loan YQYQ-TransUnion Q1.xls</x:v>
      </x:c>
    </x:row>
    <x:row r="26" ht="25" customHeight="1">
      <x:c r="A26" s="3" t="n">
        <x:v>21</x:v>
      </x:c>
      <x:c r="B26" s="3" t="str">
        <x:v>TRANSUNION</x:v>
      </x:c>
      <x:c r="C26" s="3" t="str">
        <x:v>2024-01-01~2024-12-31</x:v>
      </x:c>
      <x:c r="D26" s="3" t="str">
        <x:v>2024-12-31</x:v>
      </x:c>
      <x:c r="E26" s="3" t="str">
        <x:v>USD  million</x:v>
      </x:c>
      <x:c r="F26" s="3" t="str">
        <x:v>D</x:v>
      </x:c>
      <x:c r="G26" s="9" t="n">
        <x:v>680</x:v>
      </x:c>
      <x:c r="H26" s="9"/>
      <x:c r="I26" s="9" t="n">
        <x:v>799</x:v>
      </x:c>
      <x:c r="J26" s="9" t="n">
        <x:v>1060</x:v>
      </x:c>
      <x:c r="K26" s="9"/>
      <x:c r="L26" s="9" t="n">
        <x:v>71</x:v>
      </x:c>
      <x:c r="M26" s="9" t="n">
        <x:v>5077</x:v>
      </x:c>
      <x:c r="N26" s="9" t="n">
        <x:v>0</x:v>
      </x:c>
      <x:c r="O26" s="9" t="n">
        <x:v>4184</x:v>
      </x:c>
      <x:c r="P26" s="9" t="n">
        <x:v>1673</x:v>
      </x:c>
      <x:c r="Q26" s="9" t="n">
        <x:v>2511</x:v>
      </x:c>
      <x:c r="R26" s="9" t="n">
        <x:v>1844</x:v>
      </x:c>
      <x:c r="S26" s="9" t="n">
        <x:v>667</x:v>
      </x:c>
      <x:c r="T26" s="9" t="n">
        <x:v>265</x:v>
      </x:c>
      <x:c r="U26" s="9" t="n">
        <x:v>401</x:v>
      </x:c>
      <x:c r="V26" s="9" t="n">
        <x:v>524</x:v>
      </x:c>
      <x:c r="W26" s="10" t="n">
        <x:v>1.3953</x:v>
      </x:c>
      <x:c r="X26" s="10" t="n">
        <x:v>1.5444</x:v>
      </x:c>
      <x:c r="Y26" s="11" t="n">
        <x:v>4.49</x:v>
      </x:c>
      <x:c r="Z26" s="9" t="n">
        <x:v>5077</x:v>
      </x:c>
      <x:c r="AA26" s="9" t="n">
        <x:v>6667</x:v>
      </x:c>
      <x:c r="AB26" s="9" t="n">
        <x:v>4317</x:v>
      </x:c>
      <x:c r="AC26" s="9" t="n">
        <x:v>10984</x:v>
      </x:c>
      <x:c r="AD26" s="3" t="str">
        <x:v>/Users/yuntzuyu/Downloads/e-loan/Quarter/e-Loan YQYQ-TransUnion Q2.xls</x:v>
      </x:c>
    </x:row>
    <x:row r="27" ht="25" customHeight="1">
      <x:c r="A27" s="3" t="n">
        <x:v>22</x:v>
      </x:c>
      <x:c r="B27" s="3" t="str">
        <x:v>TRANSUNION</x:v>
      </x:c>
      <x:c r="C27" s="3" t="str">
        <x:v>2025-01-01~2025-06-30</x:v>
      </x:c>
      <x:c r="D27" s="3" t="str">
        <x:v>2025-06-30</x:v>
      </x:c>
      <x:c r="E27" s="3" t="str">
        <x:v>USD  million</x:v>
      </x:c>
      <x:c r="F27" s="3" t="str">
        <x:v>I</x:v>
      </x:c>
      <x:c r="G27" s="9" t="n">
        <x:v>688</x:v>
      </x:c>
      <x:c r="H27" s="9"/>
      <x:c r="I27" s="9" t="n">
        <x:v>896</x:v>
      </x:c>
      <x:c r="J27" s="9" t="n">
        <x:v>941</x:v>
      </x:c>
      <x:c r="K27" s="9"/>
      <x:c r="L27" s="9" t="n">
        <x:v>76</x:v>
      </x:c>
      <x:c r="M27" s="9" t="n">
        <x:v>5060</x:v>
      </x:c>
      <x:c r="N27" s="9"/>
      <x:c r="O27" s="9" t="n">
        <x:v>2236</x:v>
      </x:c>
      <x:c r="P27" s="9" t="n">
        <x:v>916</x:v>
      </x:c>
      <x:c r="Q27" s="9" t="n">
        <x:v>1320</x:v>
      </x:c>
      <x:c r="R27" s="9" t="n">
        <x:v>873</x:v>
      </x:c>
      <x:c r="S27" s="9" t="n">
        <x:v>447</x:v>
      </x:c>
      <x:c r="T27" s="9" t="n">
        <x:v>112</x:v>
      </x:c>
      <x:c r="U27" s="9" t="n">
        <x:v>350</x:v>
      </x:c>
      <x:c r="V27" s="9" t="n">
        <x:v>282</x:v>
      </x:c>
      <x:c r="W27" s="10" t="n">
        <x:v>1.6833</x:v>
      </x:c>
      <x:c r="X27" s="10" t="n">
        <x:v>1.4034</x:v>
      </x:c>
      <x:c r="Y27" s="11" t="n">
        <x:v>6.64</x:v>
      </x:c>
      <x:c r="Z27" s="9" t="n">
        <x:v>5060</x:v>
      </x:c>
      <x:c r="AA27" s="9" t="n">
        <x:v>6492</x:v>
      </x:c>
      <x:c r="AB27" s="9" t="n">
        <x:v>4626</x:v>
      </x:c>
      <x:c r="AC27" s="9" t="n">
        <x:v>11118</x:v>
      </x:c>
      <x:c r="AD27" s="3" t="str">
        <x:v>/Users/yuntzuyu/Downloads/e-loan/Quarter/e-Loan YQYQ-TransUnion Q2.xls</x:v>
      </x:c>
    </x:row>
    <x:row r="28" ht="25" customHeight="1">
      <x:c r="A28" s="3" t="n">
        <x:v>23</x:v>
      </x:c>
      <x:c r="B28" s="3" t="str">
        <x:v>TRANSUNION</x:v>
      </x:c>
      <x:c r="C28" s="3" t="str">
        <x:v>2025-01-01~2025-12-31</x:v>
      </x:c>
      <x:c r="D28" s="3" t="str">
        <x:v>2025-12-31</x:v>
      </x:c>
      <x:c r="E28" s="3" t="str">
        <x:v>USD  million</x:v>
      </x:c>
      <x:c r="F28" s="3" t="str">
        <x:v>M</x:v>
      </x:c>
      <x:c r="G28" s="9" t="n">
        <x:v>853</x:v>
      </x:c>
      <x:c r="H28" s="9"/>
      <x:c r="I28" s="9" t="n">
        <x:v>905</x:v>
      </x:c>
      <x:c r="J28" s="9" t="n">
        <x:v>1155</x:v>
      </x:c>
      <x:c r="K28" s="9"/>
      <x:c r="L28" s="9" t="n">
        <x:v>197</x:v>
      </x:c>
      <x:c r="M28" s="9" t="n">
        <x:v>4907</x:v>
      </x:c>
      <x:c r="N28" s="9" t="n">
        <x:v>0</x:v>
      </x:c>
      <x:c r="O28" s="9" t="n">
        <x:v>4576</x:v>
      </x:c>
      <x:c r="P28" s="9" t="n">
        <x:v>1872</x:v>
      </x:c>
      <x:c r="Q28" s="9" t="n">
        <x:v>2704</x:v>
      </x:c>
      <x:c r="R28" s="9" t="n">
        <x:v>1846</x:v>
      </x:c>
      <x:c r="S28" s="9" t="n">
        <x:v>858</x:v>
      </x:c>
      <x:c r="T28" s="9" t="n">
        <x:v>236</x:v>
      </x:c>
      <x:c r="U28" s="9" t="n">
        <x:v>643</x:v>
      </x:c>
      <x:c r="V28" s="9" t="n">
        <x:v>545</x:v>
      </x:c>
      <x:c r="W28" s="10" t="n">
        <x:v>1.5221</x:v>
      </x:c>
      <x:c r="X28" s="10" t="n">
        <x:v>1.4450999999999998</x:v>
      </x:c>
      <x:c r="Y28" s="11" t="n">
        <x:v>6.03</x:v>
      </x:c>
      <x:c r="Z28" s="9" t="n">
        <x:v>4907</x:v>
      </x:c>
      <x:c r="AA28" s="9" t="n">
        <x:v>6568</x:v>
      </x:c>
      <x:c r="AB28" s="9" t="n">
        <x:v>4545</x:v>
      </x:c>
      <x:c r="AC28" s="9" t="n">
        <x:v>11113</x:v>
      </x:c>
      <x:c r="AD28" s="3" t="str">
        <x:v>/Users/yuntzuyu/Downloads/e-loan/Quarter/e-Loan YQYQ-TransUnion Q2.xls</x:v>
      </x:c>
    </x:row>
    <x:row r="29" ht="25" customHeight="1">
      <x:c r="A29" s="3" t="n">
        <x:v>24</x:v>
      </x:c>
      <x:c r="B29" s="3" t="str">
        <x:v>TRANSUNION</x:v>
      </x:c>
      <x:c r="C29" s="3" t="str">
        <x:v>2026-01-01~2026-06-30</x:v>
      </x:c>
      <x:c r="D29" s="3" t="str">
        <x:v>2026-06-30</x:v>
      </x:c>
      <x:c r="E29" s="3" t="str">
        <x:v>USD  million</x:v>
      </x:c>
      <x:c r="F29" s="3" t="str">
        <x:v>R</x:v>
      </x:c>
      <x:c r="G29" s="9" t="n">
        <x:v>839</x:v>
      </x:c>
      <x:c r="H29" s="9"/>
      <x:c r="I29" s="9" t="n">
        <x:v>1048</x:v>
      </x:c>
      <x:c r="J29" s="9" t="n">
        <x:v>1146</x:v>
      </x:c>
      <x:c r="K29" s="9"/>
      <x:c r="L29" s="9" t="n">
        <x:v>213</x:v>
      </x:c>
      <x:c r="M29" s="9" t="n">
        <x:v>5372</x:v>
      </x:c>
      <x:c r="N29" s="9"/>
      <x:c r="O29" s="9" t="n">
        <x:v>2555</x:v>
      </x:c>
      <x:c r="P29" s="9" t="n">
        <x:v>1064</x:v>
      </x:c>
      <x:c r="Q29" s="9" t="n">
        <x:v>1491</x:v>
      </x:c>
      <x:c r="R29" s="9" t="n">
        <x:v>988</x:v>
      </x:c>
      <x:c r="S29" s="9" t="n">
        <x:v>503</x:v>
      </x:c>
      <x:c r="T29" s="9" t="n">
        <x:v>128</x:v>
      </x:c>
      <x:c r="U29" s="9" t="n">
        <x:v>629</x:v>
      </x:c>
      <x:c r="V29" s="9" t="n">
        <x:v>313</x:v>
      </x:c>
      <x:c r="W29" s="10" t="n">
        <x:v>1.6466</x:v>
      </x:c>
      <x:c r="X29" s="10" t="n">
        <x:v>1.4385</x:v>
      </x:c>
      <x:c r="Y29" s="11" t="n">
        <x:v>8.36</x:v>
      </x:c>
      <x:c r="Z29" s="9" t="n">
        <x:v>5372</x:v>
      </x:c>
      <x:c r="AA29" s="9" t="n">
        <x:v>7191</x:v>
      </x:c>
      <x:c r="AB29" s="9" t="n">
        <x:v>4999</x:v>
      </x:c>
      <x:c r="AC29" s="9" t="n">
        <x:v>12190</x:v>
      </x:c>
      <x:c r="AD29" s="3" t="str">
        <x:v>/Users/yuntzuyu/Downloads/e-loan/Quarter/e-Loan YQYQ-TransUnion Q2.xls</x:v>
      </x:c>
    </x:row>
    <x:row r="30" ht="25" customHeight="1">
      <x:c r="A30" s="3" t="n">
        <x:v>25</x:v>
      </x:c>
      <x:c r="B30" s="3" t="str">
        <x:v>NEXSTAR MEDIA GROUP, INC.</x:v>
      </x:c>
      <x:c r="C30" s="3" t="str">
        <x:v>2022-01-01~2022-12-31</x:v>
      </x:c>
      <x:c r="D30" s="3" t="str">
        <x:v>2022-12-31</x:v>
      </x:c>
      <x:c r="E30" s="3" t="str">
        <x:v>USD  thousand</x:v>
      </x:c>
      <x:c r="F30" s="3" t="str">
        <x:v>D</x:v>
      </x:c>
      <x:c r="G30" s="9" t="n">
        <x:v>204100</x:v>
      </x:c>
      <x:c r="H30" s="9"/>
      <x:c r="I30" s="9" t="n">
        <x:v>1079400</x:v>
      </x:c>
      <x:c r="J30" s="9" t="n">
        <x:v>893200</x:v>
      </x:c>
      <x:c r="K30" s="9"/>
      <x:c r="L30" s="9" t="n">
        <x:v>124300</x:v>
      </x:c>
      <x:c r="M30" s="9" t="n">
        <x:v>4116300</x:v>
      </x:c>
      <x:c r="N30" s="9" t="n">
        <x:v>2710900</x:v>
      </x:c>
      <x:c r="O30" s="9" t="n">
        <x:v>5211000</x:v>
      </x:c>
      <x:c r="P30" s="9" t="n">
        <x:v>2005000</x:v>
      </x:c>
      <x:c r="Q30" s="9" t="n">
        <x:v>3206000</x:v>
      </x:c>
      <x:c r="R30" s="9" t="n">
        <x:v>1893900</x:v>
      </x:c>
      <x:c r="S30" s="9" t="n">
        <x:v>1312100</x:v>
      </x:c>
      <x:c r="T30" s="9" t="n">
        <x:v>336600</x:v>
      </x:c>
      <x:c r="U30" s="9" t="n">
        <x:v>1217100</x:v>
      </x:c>
      <x:c r="V30" s="9" t="n">
        <x:v>662100</x:v>
      </x:c>
      <x:c r="W30" s="10" t="n">
        <x:v>1.4369999999999998</x:v>
      </x:c>
      <x:c r="X30" s="10" t="n">
        <x:v>3.5784</x:v>
      </x:c>
      <x:c r="Y30" s="11" t="n">
        <x:v>6.58</x:v>
      </x:c>
      <x:c r="Z30" s="9" t="n">
        <x:v>6827200</x:v>
      </x:c>
      <x:c r="AA30" s="9" t="n">
        <x:v>9909600</x:v>
      </x:c>
      <x:c r="AB30" s="9" t="n">
        <x:v>2769300</x:v>
      </x:c>
      <x:c r="AC30" s="9" t="n">
        <x:v>12678900</x:v>
      </x:c>
      <x:c r="AD30" s="3" t="str">
        <x:v>/Users/yuntzuyu/Downloads/e-loan/Year/E-loan YYYY_Nexstar 2025.xls</x:v>
      </x:c>
    </x:row>
    <x:row r="31" ht="25" customHeight="1">
      <x:c r="A31" s="3" t="n">
        <x:v>26</x:v>
      </x:c>
      <x:c r="B31" s="3" t="str">
        <x:v>NEXSTAR MEDIA GROUP, INC.</x:v>
      </x:c>
      <x:c r="C31" s="3" t="str">
        <x:v>2023-01-01~2023-12-31</x:v>
      </x:c>
      <x:c r="D31" s="3" t="str">
        <x:v>2023-12-31</x:v>
      </x:c>
      <x:c r="E31" s="3" t="str">
        <x:v>USD  thousand</x:v>
      </x:c>
      <x:c r="F31" s="3" t="str">
        <x:v>I</x:v>
      </x:c>
      <x:c r="G31" s="9" t="n">
        <x:v>135000</x:v>
      </x:c>
      <x:c r="H31" s="9"/>
      <x:c r="I31" s="9" t="n">
        <x:v>1095000</x:v>
      </x:c>
      <x:c r="J31" s="9" t="n">
        <x:v>961000</x:v>
      </x:c>
      <x:c r="K31" s="9"/>
      <x:c r="L31" s="9" t="n">
        <x:v>124000</x:v>
      </x:c>
      <x:c r="M31" s="9" t="n">
        <x:v>4002000</x:v>
      </x:c>
      <x:c r="N31" s="9" t="n">
        <x:v>2711000</x:v>
      </x:c>
      <x:c r="O31" s="9" t="n">
        <x:v>4933000</x:v>
      </x:c>
      <x:c r="P31" s="9" t="n">
        <x:v>2153000</x:v>
      </x:c>
      <x:c r="Q31" s="9" t="n">
        <x:v>2780000</x:v>
      </x:c>
      <x:c r="R31" s="9" t="n">
        <x:v>2072000</x:v>
      </x:c>
      <x:c r="S31" s="9" t="n">
        <x:v>708000</x:v>
      </x:c>
      <x:c r="T31" s="9" t="n">
        <x:v>447000</x:v>
      </x:c>
      <x:c r="U31" s="9" t="n">
        <x:v>401000</x:v>
      </x:c>
      <x:c r="V31" s="9" t="n">
        <x:v>941000</x:v>
      </x:c>
      <x:c r="W31" s="10" t="n">
        <x:v>1.2799</x:v>
      </x:c>
      <x:c r="X31" s="10" t="n">
        <x:v>4.2218</x:v>
      </x:c>
      <x:c r="Y31" s="11" t="n">
        <x:v>4</x:v>
      </x:c>
      <x:c r="Z31" s="9" t="n">
        <x:v>6713000</x:v>
      </x:c>
      <x:c r="AA31" s="9" t="n">
        <x:v>9765000</x:v>
      </x:c>
      <x:c r="AB31" s="9" t="n">
        <x:v>2313000</x:v>
      </x:c>
      <x:c r="AC31" s="9" t="n">
        <x:v>12078000</x:v>
      </x:c>
      <x:c r="AD31" s="3" t="str">
        <x:v>/Users/yuntzuyu/Downloads/e-loan/Year/E-loan YYYY_Nexstar 2025.xls</x:v>
      </x:c>
    </x:row>
    <x:row r="32" ht="25" customHeight="1">
      <x:c r="A32" s="3" t="n">
        <x:v>27</x:v>
      </x:c>
      <x:c r="B32" s="3" t="str">
        <x:v>NEXSTAR MEDIA GROUP, INC.</x:v>
      </x:c>
      <x:c r="C32" s="3" t="str">
        <x:v>2024-01-01~2024-12-31</x:v>
      </x:c>
      <x:c r="D32" s="3" t="str">
        <x:v>2024-12-31</x:v>
      </x:c>
      <x:c r="E32" s="3" t="str">
        <x:v>USD  thousand</x:v>
      </x:c>
      <x:c r="F32" s="3" t="str">
        <x:v>M</x:v>
      </x:c>
      <x:c r="G32" s="9" t="n">
        <x:v>144000</x:v>
      </x:c>
      <x:c r="H32" s="9"/>
      <x:c r="I32" s="9" t="n">
        <x:v>1028000</x:v>
      </x:c>
      <x:c r="J32" s="9" t="n">
        <x:v>783000</x:v>
      </x:c>
      <x:c r="K32" s="9"/>
      <x:c r="L32" s="9" t="n">
        <x:v>124000</x:v>
      </x:c>
      <x:c r="M32" s="9" t="n">
        <x:v>3688000</x:v>
      </x:c>
      <x:c r="N32" s="9" t="n">
        <x:v>2711000</x:v>
      </x:c>
      <x:c r="O32" s="9" t="n">
        <x:v>5407000</x:v>
      </x:c>
      <x:c r="P32" s="9" t="n">
        <x:v>2221000</x:v>
      </x:c>
      <x:c r="Q32" s="9" t="n">
        <x:v>3186000</x:v>
      </x:c>
      <x:c r="R32" s="9" t="n">
        <x:v>1918000</x:v>
      </x:c>
      <x:c r="S32" s="9" t="n">
        <x:v>1268000</x:v>
      </x:c>
      <x:c r="T32" s="9" t="n">
        <x:v>444000</x:v>
      </x:c>
      <x:c r="U32" s="9" t="n">
        <x:v>959000</x:v>
      </x:c>
      <x:c r="V32" s="9" t="n">
        <x:v>808000</x:v>
      </x:c>
      <x:c r="W32" s="10" t="n">
        <x:v>1.4968000000000001</x:v>
      </x:c>
      <x:c r="X32" s="10" t="n">
        <x:v>4.0564</x:v>
      </x:c>
      <x:c r="Y32" s="11" t="n">
        <x:v>4.98</x:v>
      </x:c>
      <x:c r="Z32" s="9" t="n">
        <x:v>6399000</x:v>
      </x:c>
      <x:c r="AA32" s="9" t="n">
        <x:v>9200000</x:v>
      </x:c>
      <x:c r="AB32" s="9" t="n">
        <x:v>2268000</x:v>
      </x:c>
      <x:c r="AC32" s="9" t="n">
        <x:v>11468000</x:v>
      </x:c>
      <x:c r="AD32" s="3" t="str">
        <x:v>/Users/yuntzuyu/Downloads/e-loan/Year/E-loan YYYY_Nexstar 2025.xls</x:v>
      </x:c>
    </x:row>
    <x:row r="33" ht="25" customHeight="1">
      <x:c r="A33" s="3" t="n">
        <x:v>28</x:v>
      </x:c>
      <x:c r="B33" s="3" t="str">
        <x:v>NEXSTAR MEDIA GROUP, INC.</x:v>
      </x:c>
      <x:c r="C33" s="3" t="str">
        <x:v>2025-01-01~2025-12-31</x:v>
      </x:c>
      <x:c r="D33" s="3" t="str">
        <x:v>2025-12-31</x:v>
      </x:c>
      <x:c r="E33" s="3" t="str">
        <x:v>USD  thousand</x:v>
      </x:c>
      <x:c r="F33" s="3" t="str">
        <x:v>R</x:v>
      </x:c>
      <x:c r="G33" s="9" t="n">
        <x:v>280000</x:v>
      </x:c>
      <x:c r="H33" s="9"/>
      <x:c r="I33" s="9" t="n">
        <x:v>1075000</x:v>
      </x:c>
      <x:c r="J33" s="9" t="n">
        <x:v>711000</x:v>
      </x:c>
      <x:c r="K33" s="9"/>
      <x:c r="L33" s="9" t="n">
        <x:v>111000</x:v>
      </x:c>
      <x:c r="M33" s="9" t="n">
        <x:v>3511000</x:v>
      </x:c>
      <x:c r="N33" s="9" t="n">
        <x:v>2711000</x:v>
      </x:c>
      <x:c r="O33" s="9" t="n">
        <x:v>4949000</x:v>
      </x:c>
      <x:c r="P33" s="9" t="n">
        <x:v>2235000</x:v>
      </x:c>
      <x:c r="Q33" s="9" t="n">
        <x:v>2714000</x:v>
      </x:c>
      <x:c r="R33" s="9" t="n">
        <x:v>1865000</x:v>
      </x:c>
      <x:c r="S33" s="9" t="n">
        <x:v>849000</x:v>
      </x:c>
      <x:c r="T33" s="9" t="n">
        <x:v>379000</x:v>
      </x:c>
      <x:c r="U33" s="9" t="n">
        <x:v>150000</x:v>
      </x:c>
      <x:c r="V33" s="9" t="n">
        <x:v>785000</x:v>
      </x:c>
      <x:c r="W33" s="10" t="n">
        <x:v>1.9058000000000002</x:v>
      </x:c>
      <x:c r="X33" s="10" t="n">
        <x:v>4.2599</x:v>
      </x:c>
      <x:c r="Y33" s="11" t="n">
        <x:v>3.47</x:v>
      </x:c>
      <x:c r="Z33" s="9" t="n">
        <x:v>6222000</x:v>
      </x:c>
      <x:c r="AA33" s="9" t="n">
        <x:v>8784000</x:v>
      </x:c>
      <x:c r="AB33" s="9" t="n">
        <x:v>2062000</x:v>
      </x:c>
      <x:c r="AC33" s="9" t="n">
        <x:v>10846000</x:v>
      </x:c>
      <x:c r="AD33" s="3" t="str">
        <x:v>/Users/yuntzuyu/Downloads/e-loan/Year/E-loan YYYY_Nexstar 2025.xls</x:v>
      </x:c>
    </x:row>
    <x:row r="34" ht="25" customHeight="1">
      <x:c r="A34" s="3" t="n">
        <x:v>29</x:v>
      </x:c>
      <x:c r="B34" s="3" t="str">
        <x:v>XPO, INC.</x:v>
      </x:c>
      <x:c r="C34" s="3" t="str">
        <x:v>2022-01-01~2022-12-31</x:v>
      </x:c>
      <x:c r="D34" s="3" t="str">
        <x:v>2022-12-31</x:v>
      </x:c>
      <x:c r="E34" s="3" t="str">
        <x:v>USD  million</x:v>
      </x:c>
      <x:c r="F34" s="3" t="str">
        <x:v>D</x:v>
      </x:c>
      <x:c r="G34" s="9" t="n">
        <x:v>460</x:v>
      </x:c>
      <x:c r="H34" s="9"/>
      <x:c r="I34" s="9" t="n">
        <x:v>954</x:v>
      </x:c>
      <x:c r="J34" s="9" t="n">
        <x:v>1507</x:v>
      </x:c>
      <x:c r="K34" s="9"/>
      <x:c r="L34" s="9" t="n">
        <x:v>59</x:v>
      </x:c>
      <x:c r="M34" s="9" t="n">
        <x:v>1981</x:v>
      </x:c>
      <x:c r="N34" s="9" t="n">
        <x:v>328</x:v>
      </x:c>
      <x:c r="O34" s="9" t="n">
        <x:v>7718</x:v>
      </x:c>
      <x:c r="P34" s="9" t="n">
        <x:v>4043</x:v>
      </x:c>
      <x:c r="Q34" s="9" t="n">
        <x:v>3675</x:v>
      </x:c>
      <x:c r="R34" s="9" t="n">
        <x:v>3358</x:v>
      </x:c>
      <x:c r="S34" s="9" t="n">
        <x:v>317</x:v>
      </x:c>
      <x:c r="T34" s="9" t="n">
        <x:v>135</x:v>
      </x:c>
      <x:c r="U34" s="9" t="n">
        <x:v>258</x:v>
      </x:c>
      <x:c r="V34" s="9" t="n">
        <x:v>392</x:v>
      </x:c>
      <x:c r="W34" s="10" t="n">
        <x:v>0.9383</x:v>
      </x:c>
      <x:c r="X34" s="10" t="n">
        <x:v>5.1947</x:v>
      </x:c>
      <x:c r="Y34" s="11" t="n">
        <x:v>5.81</x:v>
      </x:c>
      <x:c r="Z34" s="9" t="n">
        <x:v>2473</x:v>
      </x:c>
      <x:c r="AA34" s="9" t="n">
        <x:v>5257</x:v>
      </x:c>
      <x:c r="AB34" s="9" t="n">
        <x:v>1012</x:v>
      </x:c>
      <x:c r="AC34" s="9" t="n">
        <x:v>6269</x:v>
      </x:c>
      <x:c r="AD34" s="3" t="str">
        <x:v>/Users/yuntzuyu/Downloads/e-loan/Year/E-loan YYYY_XPO 2025.xls</x:v>
      </x:c>
    </x:row>
    <x:row r="35" ht="25" customHeight="1">
      <x:c r="A35" s="3" t="n">
        <x:v>30</x:v>
      </x:c>
      <x:c r="B35" s="3" t="str">
        <x:v>XPO, INC.</x:v>
      </x:c>
      <x:c r="C35" s="3" t="str">
        <x:v>2023-01-01~2023-12-31</x:v>
      </x:c>
      <x:c r="D35" s="3" t="str">
        <x:v>2023-12-31</x:v>
      </x:c>
      <x:c r="E35" s="3" t="str">
        <x:v>USD  million</x:v>
      </x:c>
      <x:c r="F35" s="3" t="str">
        <x:v>I</x:v>
      </x:c>
      <x:c r="G35" s="9" t="n">
        <x:v>412</x:v>
      </x:c>
      <x:c r="H35" s="9"/>
      <x:c r="I35" s="9" t="n">
        <x:v>973</x:v>
      </x:c>
      <x:c r="J35" s="9" t="n">
        <x:v>1590</x:v>
      </x:c>
      <x:c r="K35" s="9"/>
      <x:c r="L35" s="9" t="n">
        <x:v>69</x:v>
      </x:c>
      <x:c r="M35" s="9" t="n">
        <x:v>1018</x:v>
      </x:c>
      <x:c r="N35" s="9" t="n">
        <x:v>2063</x:v>
      </x:c>
      <x:c r="O35" s="9" t="n">
        <x:v>7744</x:v>
      </x:c>
      <x:c r="P35" s="9" t="n">
        <x:v>3815</x:v>
      </x:c>
      <x:c r="Q35" s="9" t="n">
        <x:v>3929</x:v>
      </x:c>
      <x:c r="R35" s="9" t="n">
        <x:v>3491</x:v>
      </x:c>
      <x:c r="S35" s="9" t="n">
        <x:v>438</x:v>
      </x:c>
      <x:c r="T35" s="9" t="n">
        <x:v>168</x:v>
      </x:c>
      <x:c r="U35" s="9" t="n">
        <x:v>260</x:v>
      </x:c>
      <x:c r="V35" s="9" t="n">
        <x:v>432</x:v>
      </x:c>
      <x:c r="W35" s="10" t="n">
        <x:v>0.8711</x:v>
      </x:c>
      <x:c r="X35" s="10" t="n">
        <x:v>4.9179</x:v>
      </x:c>
      <x:c r="Y35" s="11" t="n">
        <x:v>5.12</x:v>
      </x:c>
      <x:c r="Z35" s="9" t="n">
        <x:v>3335</x:v>
      </x:c>
      <x:c r="AA35" s="9" t="n">
        <x:v>6226</x:v>
      </x:c>
      <x:c r="AB35" s="9" t="n">
        <x:v>1266</x:v>
      </x:c>
      <x:c r="AC35" s="9" t="n">
        <x:v>7492</x:v>
      </x:c>
      <x:c r="AD35" s="3" t="str">
        <x:v>/Users/yuntzuyu/Downloads/e-loan/Year/E-loan YYYY_XPO 2025.xls</x:v>
      </x:c>
    </x:row>
    <x:row r="36" ht="25" customHeight="1">
      <x:c r="A36" s="3" t="n">
        <x:v>31</x:v>
      </x:c>
      <x:c r="B36" s="3" t="str">
        <x:v>XPO, INC.</x:v>
      </x:c>
      <x:c r="C36" s="3" t="str">
        <x:v>2024-01-01~2024-12-31</x:v>
      </x:c>
      <x:c r="D36" s="3" t="str">
        <x:v>2024-12-31</x:v>
      </x:c>
      <x:c r="E36" s="3" t="str">
        <x:v>USD  million</x:v>
      </x:c>
      <x:c r="F36" s="3" t="str">
        <x:v>M</x:v>
      </x:c>
      <x:c r="G36" s="9" t="n">
        <x:v>246</x:v>
      </x:c>
      <x:c r="H36" s="9"/>
      <x:c r="I36" s="9" t="n">
        <x:v>977</x:v>
      </x:c>
      <x:c r="J36" s="9" t="n">
        <x:v>1420</x:v>
      </x:c>
      <x:c r="K36" s="9"/>
      <x:c r="L36" s="9" t="n">
        <x:v>62</x:v>
      </x:c>
      <x:c r="M36" s="9" t="n">
        <x:v>1027</x:v>
      </x:c>
      <x:c r="N36" s="9" t="n">
        <x:v>2069</x:v>
      </x:c>
      <x:c r="O36" s="9" t="n">
        <x:v>8072</x:v>
      </x:c>
      <x:c r="P36" s="9" t="n">
        <x:v>3780</x:v>
      </x:c>
      <x:c r="Q36" s="9" t="n">
        <x:v>4292</x:v>
      </x:c>
      <x:c r="R36" s="9" t="n">
        <x:v>3633</x:v>
      </x:c>
      <x:c r="S36" s="9" t="n">
        <x:v>659</x:v>
      </x:c>
      <x:c r="T36" s="9" t="n">
        <x:v>223</x:v>
      </x:c>
      <x:c r="U36" s="9" t="n">
        <x:v>473</x:v>
      </x:c>
      <x:c r="V36" s="9" t="n">
        <x:v>490</x:v>
      </x:c>
      <x:c r="W36" s="10" t="n">
        <x:v>0.8613</x:v>
      </x:c>
      <x:c r="X36" s="10" t="n">
        <x:v>3.82</x:v>
      </x:c>
      <x:c r="Y36" s="11" t="n">
        <x:v>5.32</x:v>
      </x:c>
      <x:c r="Z36" s="9" t="n">
        <x:v>3324</x:v>
      </x:c>
      <x:c r="AA36" s="9" t="n">
        <x:v>6112</x:v>
      </x:c>
      <x:c r="AB36" s="9" t="n">
        <x:v>1600</x:v>
      </x:c>
      <x:c r="AC36" s="9" t="n">
        <x:v>7712</x:v>
      </x:c>
      <x:c r="AD36" s="3" t="str">
        <x:v>/Users/yuntzuyu/Downloads/e-loan/Year/E-loan YYYY_XPO 2025.xls</x:v>
      </x:c>
    </x:row>
    <x:row r="37" ht="25" customHeight="1">
      <x:c r="A37" s="3" t="n">
        <x:v>32</x:v>
      </x:c>
      <x:c r="B37" s="3" t="str">
        <x:v>XPO, INC.</x:v>
      </x:c>
      <x:c r="C37" s="3" t="str">
        <x:v>2025-01-01~2025-12-31</x:v>
      </x:c>
      <x:c r="D37" s="3" t="str">
        <x:v>2025-12-31</x:v>
      </x:c>
      <x:c r="E37" s="3" t="str">
        <x:v>USD  million</x:v>
      </x:c>
      <x:c r="F37" s="3" t="str">
        <x:v>R</x:v>
      </x:c>
      <x:c r="G37" s="9" t="n">
        <x:v>310</x:v>
      </x:c>
      <x:c r="H37" s="9"/>
      <x:c r="I37" s="9" t="n">
        <x:v>1035</x:v>
      </x:c>
      <x:c r="J37" s="9" t="n">
        <x:v>1555</x:v>
      </x:c>
      <x:c r="K37" s="9"/>
      <x:c r="L37" s="9" t="n">
        <x:v>60</x:v>
      </x:c>
      <x:c r="M37" s="9" t="n">
        <x:v>918</x:v>
      </x:c>
      <x:c r="N37" s="9" t="n">
        <x:v>2078</x:v>
      </x:c>
      <x:c r="O37" s="9" t="n">
        <x:v>8157</x:v>
      </x:c>
      <x:c r="P37" s="9" t="n">
        <x:v>3754</x:v>
      </x:c>
      <x:c r="Q37" s="9" t="n">
        <x:v>4403</x:v>
      </x:c>
      <x:c r="R37" s="9" t="n">
        <x:v>3747</x:v>
      </x:c>
      <x:c r="S37" s="9" t="n">
        <x:v>656</x:v>
      </x:c>
      <x:c r="T37" s="9" t="n">
        <x:v>219</x:v>
      </x:c>
      <x:c r="U37" s="9" t="n">
        <x:v>437</x:v>
      </x:c>
      <x:c r="V37" s="9" t="n">
        <x:v>521</x:v>
      </x:c>
      <x:c r="W37" s="10" t="n">
        <x:v>0.865</x:v>
      </x:c>
      <x:c r="X37" s="10" t="n">
        <x:v>3.403</x:v>
      </x:c>
      <x:c r="Y37" s="11" t="n">
        <x:v>5.37</x:v>
      </x:c>
      <x:c r="Z37" s="9" t="n">
        <x:v>3253</x:v>
      </x:c>
      <x:c r="AA37" s="9" t="n">
        <x:v>6333</x:v>
      </x:c>
      <x:c r="AB37" s="9" t="n">
        <x:v>1861</x:v>
      </x:c>
      <x:c r="AC37" s="9" t="n">
        <x:v>8194</x:v>
      </x:c>
      <x:c r="AD37" s="3" t="str">
        <x:v>/Users/yuntzuyu/Downloads/e-loan/Year/E-loan YYYY_XPO 2025.xls</x:v>
      </x:c>
    </x:row>
    <x:row r="38" ht="25" customHeight="1">
      <x:c r="A38" s="3" t="n">
        <x:v>33</x:v>
      </x:c>
      <x:c r="B38" s="3" t="str">
        <x:v>CROCS, INC.</x:v>
      </x:c>
      <x:c r="C38" s="3" t="str">
        <x:v>2022-01-01~2022-12-31</x:v>
      </x:c>
      <x:c r="D38" s="3" t="str">
        <x:v>2022-12-31</x:v>
      </x:c>
      <x:c r="E38" s="3" t="str">
        <x:v>USD  thousand</x:v>
      </x:c>
      <x:c r="F38" s="3" t="str">
        <x:v>D</x:v>
      </x:c>
      <x:c r="G38" s="9" t="n">
        <x:v>191629</x:v>
      </x:c>
      <x:c r="H38" s="9"/>
      <x:c r="I38" s="9" t="n">
        <x:v>295594</x:v>
      </x:c>
      <x:c r="J38" s="9" t="n">
        <x:v>641274</x:v>
      </x:c>
      <x:c r="K38" s="9"/>
      <x:c r="L38" s="9" t="n">
        <x:v>24362</x:v>
      </x:c>
      <x:c r="M38" s="9" t="n">
        <x:v>1655000</x:v>
      </x:c>
      <x:c r="N38" s="9" t="n">
        <x:v>643027</x:v>
      </x:c>
      <x:c r="O38" s="9" t="n">
        <x:v>3554985</x:v>
      </x:c>
      <x:c r="P38" s="9" t="n">
        <x:v>1694703</x:v>
      </x:c>
      <x:c r="Q38" s="9" t="n">
        <x:v>1860282</x:v>
      </x:c>
      <x:c r="R38" s="9" t="n">
        <x:v>1009526</x:v>
      </x:c>
      <x:c r="S38" s="9" t="n">
        <x:v>850756</x:v>
      </x:c>
      <x:c r="T38" s="9" t="n">
        <x:v>136158</x:v>
      </x:c>
      <x:c r="U38" s="9" t="n">
        <x:v>718508</x:v>
      </x:c>
      <x:c r="V38" s="9" t="n">
        <x:v>39229</x:v>
      </x:c>
      <x:c r="W38" s="10" t="n">
        <x:v>0.7598</x:v>
      </x:c>
      <x:c r="X38" s="10" t="n">
        <x:v>4.5039</x:v>
      </x:c>
      <x:c r="Y38" s="11" t="n">
        <x:v>6.57</x:v>
      </x:c>
      <x:c r="Z38" s="9" t="n">
        <x:v>2298027</x:v>
      </x:c>
      <x:c r="AA38" s="9" t="n">
        <x:v>3683866</x:v>
      </x:c>
      <x:c r="AB38" s="9" t="n">
        <x:v>817931</x:v>
      </x:c>
      <x:c r="AC38" s="9" t="n">
        <x:v>4501797</x:v>
      </x:c>
      <x:c r="AD38" s="3" t="str">
        <x:v>/Users/yuntzuyu/Downloads/e-loan/Year/e-Loan YYYY-CROX 2025.xls</x:v>
      </x:c>
    </x:row>
    <x:row r="39" ht="25" customHeight="1">
      <x:c r="A39" s="3" t="n">
        <x:v>34</x:v>
      </x:c>
      <x:c r="B39" s="3" t="str">
        <x:v>CROCS, INC.</x:v>
      </x:c>
      <x:c r="C39" s="3" t="str">
        <x:v>2023-01-01~2023-12-31</x:v>
      </x:c>
      <x:c r="D39" s="3" t="str">
        <x:v>2023-12-31</x:v>
      </x:c>
      <x:c r="E39" s="3" t="str">
        <x:v>USD  thousand</x:v>
      </x:c>
      <x:c r="F39" s="3" t="str">
        <x:v>I</x:v>
      </x:c>
      <x:c r="G39" s="9" t="n">
        <x:v>149288</x:v>
      </x:c>
      <x:c r="H39" s="9"/>
      <x:c r="I39" s="9" t="n">
        <x:v>305747</x:v>
      </x:c>
      <x:c r="J39" s="9" t="n">
        <x:v>698296</x:v>
      </x:c>
      <x:c r="K39" s="9"/>
      <x:c r="L39" s="9" t="n">
        <x:v>23328</x:v>
      </x:c>
      <x:c r="M39" s="9" t="n">
        <x:v>990000</x:v>
      </x:c>
      <x:c r="N39" s="9" t="n">
        <x:v>650996</x:v>
      </x:c>
      <x:c r="O39" s="9" t="n">
        <x:v>3962347</x:v>
      </x:c>
      <x:c r="P39" s="9" t="n">
        <x:v>1752337</x:v>
      </x:c>
      <x:c r="Q39" s="9" t="n">
        <x:v>2210010</x:v>
      </x:c>
      <x:c r="R39" s="9" t="n">
        <x:v>1173227</x:v>
      </x:c>
      <x:c r="S39" s="9" t="n">
        <x:v>1036783</x:v>
      </x:c>
      <x:c r="T39" s="9" t="n">
        <x:v>161351</x:v>
      </x:c>
      <x:c r="U39" s="9" t="n">
        <x:v>876272</x:v>
      </x:c>
      <x:c r="V39" s="9" t="n">
        <x:v>54304</x:v>
      </x:c>
      <x:c r="W39" s="10" t="n">
        <x:v>0.6516</x:v>
      </x:c>
      <x:c r="X39" s="10" t="n">
        <x:v>2.194</x:v>
      </x:c>
      <x:c r="Y39" s="11" t="n">
        <x:v>6.77</x:v>
      </x:c>
      <x:c r="Z39" s="9" t="n">
        <x:v>1640996</x:v>
      </x:c>
      <x:c r="AA39" s="9" t="n">
        <x:v>3189911</x:v>
      </x:c>
      <x:c r="AB39" s="9" t="n">
        <x:v>1453923</x:v>
      </x:c>
      <x:c r="AC39" s="9" t="n">
        <x:v>4643834</x:v>
      </x:c>
      <x:c r="AD39" s="3" t="str">
        <x:v>/Users/yuntzuyu/Downloads/e-loan/Year/e-Loan YYYY-CROX 2025.xls</x:v>
      </x:c>
    </x:row>
    <x:row r="40" ht="25" customHeight="1">
      <x:c r="A40" s="3" t="n">
        <x:v>35</x:v>
      </x:c>
      <x:c r="B40" s="3" t="str">
        <x:v>CROCS, INC.</x:v>
      </x:c>
      <x:c r="C40" s="3" t="str">
        <x:v>2024-01-01~2024-12-31</x:v>
      </x:c>
      <x:c r="D40" s="3" t="str">
        <x:v>2024-12-31</x:v>
      </x:c>
      <x:c r="E40" s="3" t="str">
        <x:v>USD  thousand</x:v>
      </x:c>
      <x:c r="F40" s="3" t="str">
        <x:v>M</x:v>
      </x:c>
      <x:c r="G40" s="9" t="n">
        <x:v>180485</x:v>
      </x:c>
      <x:c r="H40" s="9"/>
      <x:c r="I40" s="9" t="n">
        <x:v>257657</x:v>
      </x:c>
      <x:c r="J40" s="9" t="n">
        <x:v>740208</x:v>
      </x:c>
      <x:c r="K40" s="9"/>
      <x:c r="L40" s="9" t="n">
        <x:v>0</x:v>
      </x:c>
      <x:c r="M40" s="9" t="n">
        <x:v>690000</x:v>
      </x:c>
      <x:c r="N40" s="9" t="n">
        <x:v>659339</x:v>
      </x:c>
      <x:c r="O40" s="9" t="n">
        <x:v>4102108</x:v>
      </x:c>
      <x:c r="P40" s="9" t="n">
        <x:v>1691850</x:v>
      </x:c>
      <x:c r="Q40" s="9" t="n">
        <x:v>2410258</x:v>
      </x:c>
      <x:c r="R40" s="9" t="n">
        <x:v>1388347</x:v>
      </x:c>
      <x:c r="S40" s="9" t="n">
        <x:v>1021911</x:v>
      </x:c>
      <x:c r="T40" s="9" t="n">
        <x:v>109264</x:v>
      </x:c>
      <x:c r="U40" s="9" t="n">
        <x:v>910585</x:v>
      </x:c>
      <x:c r="V40" s="9" t="n">
        <x:v>69840</x:v>
      </x:c>
      <x:c r="W40" s="10" t="n">
        <x:v>0.5919</x:v>
      </x:c>
      <x:c r="X40" s="10" t="n">
        <x:v>1.6214</x:v>
      </x:c>
      <x:c r="Y40" s="11" t="n">
        <x:v>9.97</x:v>
      </x:c>
      <x:c r="Z40" s="9" t="n">
        <x:v>1349339</x:v>
      </x:c>
      <x:c r="AA40" s="9" t="n">
        <x:v>2976421</x:v>
      </x:c>
      <x:c r="AB40" s="9" t="n">
        <x:v>1835732</x:v>
      </x:c>
      <x:c r="AC40" s="9" t="n">
        <x:v>4812153</x:v>
      </x:c>
      <x:c r="AD40" s="3" t="str">
        <x:v>/Users/yuntzuyu/Downloads/e-loan/Year/e-Loan YYYY-CROX 2025.xls</x:v>
      </x:c>
    </x:row>
    <x:row r="41" ht="25" customHeight="1">
      <x:c r="A41" s="3" t="n">
        <x:v>36</x:v>
      </x:c>
      <x:c r="B41" s="3" t="str">
        <x:v>CROCS, INC.</x:v>
      </x:c>
      <x:c r="C41" s="3" t="str">
        <x:v>2025-01-01~2025-12-31</x:v>
      </x:c>
      <x:c r="D41" s="3" t="str">
        <x:v>2025-12-31</x:v>
      </x:c>
      <x:c r="E41" s="3" t="str">
        <x:v>USD  thousand</x:v>
      </x:c>
      <x:c r="F41" s="3" t="str">
        <x:v>R</x:v>
      </x:c>
      <x:c r="G41" s="9" t="n">
        <x:v>130354</x:v>
      </x:c>
      <x:c r="H41" s="9"/>
      <x:c r="I41" s="9" t="n">
        <x:v>278191</x:v>
      </x:c>
      <x:c r="J41" s="9" t="n">
        <x:v>700129</x:v>
      </x:c>
      <x:c r="K41" s="9"/>
      <x:c r="L41" s="9" t="n">
        <x:v>0</x:v>
      </x:c>
      <x:c r="M41" s="9" t="n">
        <x:v>562000</x:v>
      </x:c>
      <x:c r="N41" s="9" t="n">
        <x:v>668885</x:v>
      </x:c>
      <x:c r="O41" s="9" t="n">
        <x:v>4040647</x:v>
      </x:c>
      <x:c r="P41" s="9" t="n">
        <x:v>1683592</x:v>
      </x:c>
      <x:c r="Q41" s="9" t="n">
        <x:v>2357055</x:v>
      </x:c>
      <x:c r="R41" s="9" t="n">
        <x:v>2207540</x:v>
      </x:c>
      <x:c r="S41" s="9" t="n">
        <x:v>149515</x:v>
      </x:c>
      <x:c r="T41" s="9" t="n">
        <x:v>88287</x:v>
      </x:c>
      <x:c r="U41" s="9" t="n">
        <x:v>72978</x:v>
      </x:c>
      <x:c r="V41" s="9" t="n">
        <x:v>79282</x:v>
      </x:c>
      <x:c r="W41" s="10" t="n">
        <x:v>0.5835</x:v>
      </x:c>
      <x:c r="X41" s="10" t="n">
        <x:v>2.228</x:v>
      </x:c>
      <x:c r="Y41" s="11" t="n">
        <x:v>2.72</x:v>
      </x:c>
      <x:c r="Z41" s="9" t="n">
        <x:v>1230885</x:v>
      </x:c>
      <x:c r="AA41" s="9" t="n">
        <x:v>2881467</x:v>
      </x:c>
      <x:c r="AB41" s="9" t="n">
        <x:v>1293283</x:v>
      </x:c>
      <x:c r="AC41" s="9" t="n">
        <x:v>4174750</x:v>
      </x:c>
      <x:c r="AD41" s="3" t="str">
        <x:v>/Users/yuntzuyu/Downloads/e-loan/Year/e-Loan YYYY-CROX 2025.xls</x:v>
      </x:c>
    </x:row>
    <x:row r="42" ht="25" customHeight="1">
      <x:c r="A42" s="3" t="n">
        <x:v>37</x:v>
      </x:c>
      <x:c r="B42" s="3" t="str">
        <x:v>INSULET CORPORATION</x:v>
      </x:c>
      <x:c r="C42" s="3" t="str">
        <x:v>2022-01-01~2022-12-31</x:v>
      </x:c>
      <x:c r="D42" s="3" t="str">
        <x:v>2022-12-31</x:v>
      </x:c>
      <x:c r="E42" s="3" t="str">
        <x:v>USD  million</x:v>
      </x:c>
      <x:c r="F42" s="3" t="str">
        <x:v>D</x:v>
      </x:c>
      <x:c r="G42" s="9" t="n">
        <x:v>675</x:v>
      </x:c>
      <x:c r="H42" s="9"/>
      <x:c r="I42" s="9" t="n">
        <x:v>205</x:v>
      </x:c>
      <x:c r="J42" s="9" t="n">
        <x:v>365</x:v>
      </x:c>
      <x:c r="K42" s="9"/>
      <x:c r="L42" s="9" t="n">
        <x:v>28</x:v>
      </x:c>
      <x:c r="M42" s="9" t="n">
        <x:v>493</x:v>
      </x:c>
      <x:c r="N42" s="9" t="n">
        <x:v>765</x:v>
      </x:c>
      <x:c r="O42" s="9" t="n">
        <x:v>1305</x:v>
      </x:c>
      <x:c r="P42" s="9" t="n">
        <x:v>500</x:v>
      </x:c>
      <x:c r="Q42" s="9" t="n">
        <x:v>805</x:v>
      </x:c>
      <x:c r="R42" s="9" t="n">
        <x:v>768</x:v>
      </x:c>
      <x:c r="S42" s="9" t="n">
        <x:v>37</x:v>
      </x:c>
      <x:c r="T42" s="9" t="n">
        <x:v>36</x:v>
      </x:c>
      <x:c r="U42" s="9" t="n">
        <x:v>10</x:v>
      </x:c>
      <x:c r="V42" s="9" t="n">
        <x:v>63</x:v>
      </x:c>
      <x:c r="W42" s="10" t="n">
        <x:v>2.411</x:v>
      </x:c>
      <x:c r="X42" s="10" t="n">
        <x:v>3.7212</x:v>
      </x:c>
      <x:c r="Y42" s="11" t="n">
        <x:v>3.03</x:v>
      </x:c>
      <x:c r="Z42" s="9" t="n">
        <x:v>1374</x:v>
      </x:c>
      <x:c r="AA42" s="9" t="n">
        <x:v>1775</x:v>
      </x:c>
      <x:c r="AB42" s="9" t="n">
        <x:v>477</x:v>
      </x:c>
      <x:c r="AC42" s="9" t="n">
        <x:v>2252</x:v>
      </x:c>
      <x:c r="AD42" s="3" t="str">
        <x:v>/Users/yuntzuyu/Downloads/e-loan/Year/e-Loan YYYY-Insulet 2025.xls</x:v>
      </x:c>
    </x:row>
    <x:row r="43" ht="25" customHeight="1">
      <x:c r="A43" s="3" t="n">
        <x:v>38</x:v>
      </x:c>
      <x:c r="B43" s="3" t="str">
        <x:v>INSULET CORPORATION</x:v>
      </x:c>
      <x:c r="C43" s="3" t="str">
        <x:v>2023-01-01~2023-12-31</x:v>
      </x:c>
      <x:c r="D43" s="3" t="str">
        <x:v>2023-12-31</x:v>
      </x:c>
      <x:c r="E43" s="3" t="str">
        <x:v>USD  million</x:v>
      </x:c>
      <x:c r="F43" s="3" t="str">
        <x:v>I</x:v>
      </x:c>
      <x:c r="G43" s="9" t="n">
        <x:v>704</x:v>
      </x:c>
      <x:c r="H43" s="9"/>
      <x:c r="I43" s="9" t="n">
        <x:v>359</x:v>
      </x:c>
      <x:c r="J43" s="9" t="n">
        <x:v>451</x:v>
      </x:c>
      <x:c r="K43" s="9"/>
      <x:c r="L43" s="9" t="n">
        <x:v>49</x:v>
      </x:c>
      <x:c r="M43" s="9" t="n">
        <x:v>488</x:v>
      </x:c>
      <x:c r="N43" s="9" t="n">
        <x:v>783</x:v>
      </x:c>
      <x:c r="O43" s="9" t="n">
        <x:v>1697</x:v>
      </x:c>
      <x:c r="P43" s="9" t="n">
        <x:v>537</x:v>
      </x:c>
      <x:c r="Q43" s="9" t="n">
        <x:v>1160</x:v>
      </x:c>
      <x:c r="R43" s="9" t="n">
        <x:v>940</x:v>
      </x:c>
      <x:c r="S43" s="9" t="n">
        <x:v>220</x:v>
      </x:c>
      <x:c r="T43" s="9" t="n">
        <x:v>36</x:v>
      </x:c>
      <x:c r="U43" s="9" t="n">
        <x:v>215</x:v>
      </x:c>
      <x:c r="V43" s="9" t="n">
        <x:v>73</x:v>
      </x:c>
      <x:c r="W43" s="10" t="n">
        <x:v>2.3569999999999998</x:v>
      </x:c>
      <x:c r="X43" s="10" t="n">
        <x:v>2.5307</x:v>
      </x:c>
      <x:c r="Y43" s="11" t="n">
        <x:v>9</x:v>
      </x:c>
      <x:c r="Z43" s="9" t="n">
        <x:v>1366</x:v>
      </x:c>
      <x:c r="AA43" s="9" t="n">
        <x:v>1855</x:v>
      </x:c>
      <x:c r="AB43" s="9" t="n">
        <x:v>733</x:v>
      </x:c>
      <x:c r="AC43" s="9" t="n">
        <x:v>2588</x:v>
      </x:c>
      <x:c r="AD43" s="3" t="str">
        <x:v>/Users/yuntzuyu/Downloads/e-loan/Year/e-Loan YYYY-Insulet 2025.xls</x:v>
      </x:c>
    </x:row>
    <x:row r="44" ht="25" customHeight="1">
      <x:c r="A44" s="3" t="n">
        <x:v>39</x:v>
      </x:c>
      <x:c r="B44" s="3" t="str">
        <x:v>INSULET CORPORATION</x:v>
      </x:c>
      <x:c r="C44" s="3" t="str">
        <x:v>2024-01-01~2024-12-31</x:v>
      </x:c>
      <x:c r="D44" s="3" t="str">
        <x:v>2024-12-31</x:v>
      </x:c>
      <x:c r="E44" s="3" t="str">
        <x:v>USD  million</x:v>
      </x:c>
      <x:c r="F44" s="3" t="str">
        <x:v>M</x:v>
      </x:c>
      <x:c r="G44" s="9" t="n">
        <x:v>953</x:v>
      </x:c>
      <x:c r="H44" s="9"/>
      <x:c r="I44" s="9" t="n">
        <x:v>366</x:v>
      </x:c>
      <x:c r="J44" s="9" t="n">
        <x:v>529</x:v>
      </x:c>
      <x:c r="K44" s="9"/>
      <x:c r="L44" s="9" t="n">
        <x:v>84</x:v>
      </x:c>
      <x:c r="M44" s="9" t="n">
        <x:v>483</x:v>
      </x:c>
      <x:c r="N44" s="9" t="n">
        <x:v>787</x:v>
      </x:c>
      <x:c r="O44" s="9" t="n">
        <x:v>2072</x:v>
      </x:c>
      <x:c r="P44" s="9" t="n">
        <x:v>626</x:v>
      </x:c>
      <x:c r="Q44" s="9" t="n">
        <x:v>1446</x:v>
      </x:c>
      <x:c r="R44" s="9" t="n">
        <x:v>1137</x:v>
      </x:c>
      <x:c r="S44" s="9" t="n">
        <x:v>309</x:v>
      </x:c>
      <x:c r="T44" s="9" t="n">
        <x:v>43</x:v>
      </x:c>
      <x:c r="U44" s="9" t="n">
        <x:v>300</x:v>
      </x:c>
      <x:c r="V44" s="9" t="n">
        <x:v>81</x:v>
      </x:c>
      <x:c r="W44" s="10" t="n">
        <x:v>2.4934</x:v>
      </x:c>
      <x:c r="X44" s="10" t="n">
        <x:v>1.5478999999999998</x:v>
      </x:c>
      <x:c r="Y44" s="11" t="n">
        <x:v>9.86</x:v>
      </x:c>
      <x:c r="Z44" s="9" t="n">
        <x:v>1296</x:v>
      </x:c>
      <x:c r="AA44" s="9" t="n">
        <x:v>1876</x:v>
      </x:c>
      <x:c r="AB44" s="9" t="n">
        <x:v>1212</x:v>
      </x:c>
      <x:c r="AC44" s="9" t="n">
        <x:v>3088</x:v>
      </x:c>
      <x:c r="AD44" s="3" t="str">
        <x:v>/Users/yuntzuyu/Downloads/e-loan/Year/e-Loan YYYY-Insulet 2025.xls</x:v>
      </x:c>
    </x:row>
    <x:row r="45" ht="25" customHeight="1">
      <x:c r="A45" s="3" t="n">
        <x:v>40</x:v>
      </x:c>
      <x:c r="B45" s="3" t="str">
        <x:v>INSULET CORPORATION</x:v>
      </x:c>
      <x:c r="C45" s="3" t="str">
        <x:v>2025-01-01~2025-12-31</x:v>
      </x:c>
      <x:c r="D45" s="3" t="str">
        <x:v>2025-12-31</x:v>
      </x:c>
      <x:c r="E45" s="3" t="str">
        <x:v>USD  million</x:v>
      </x:c>
      <x:c r="F45" s="3" t="str">
        <x:v>R</x:v>
      </x:c>
      <x:c r="G45" s="9" t="n">
        <x:v>716</x:v>
      </x:c>
      <x:c r="H45" s="9"/>
      <x:c r="I45" s="9" t="n">
        <x:v>517</x:v>
      </x:c>
      <x:c r="J45" s="9" t="n">
        <x:v>680</x:v>
      </x:c>
      <x:c r="K45" s="9"/>
      <x:c r="L45" s="9" t="n">
        <x:v>18</x:v>
      </x:c>
      <x:c r="M45" s="9" t="n">
        <x:v>478</x:v>
      </x:c>
      <x:c r="N45" s="9" t="n">
        <x:v>437</x:v>
      </x:c>
      <x:c r="O45" s="9" t="n">
        <x:v>2708</x:v>
      </x:c>
      <x:c r="P45" s="9" t="n">
        <x:v>768</x:v>
      </x:c>
      <x:c r="Q45" s="9" t="n">
        <x:v>1940</x:v>
      </x:c>
      <x:c r="R45" s="9" t="n">
        <x:v>1466</x:v>
      </x:c>
      <x:c r="S45" s="9" t="n">
        <x:v>474</x:v>
      </x:c>
      <x:c r="T45" s="9" t="n">
        <x:v>60</x:v>
      </x:c>
      <x:c r="U45" s="9" t="n">
        <x:v>339</x:v>
      </x:c>
      <x:c r="V45" s="9" t="n">
        <x:v>90</x:v>
      </x:c>
      <x:c r="W45" s="10" t="n">
        <x:v>1.8132</x:v>
      </x:c>
      <x:c r="X45" s="10" t="n">
        <x:v>1.1056</x:v>
      </x:c>
      <x:c r="Y45" s="11" t="n">
        <x:v>8.15</x:v>
      </x:c>
      <x:c r="Z45" s="9" t="n">
        <x:v>932</x:v>
      </x:c>
      <x:c r="AA45" s="9" t="n">
        <x:v>1675</x:v>
      </x:c>
      <x:c r="AB45" s="9" t="n">
        <x:v>1515</x:v>
      </x:c>
      <x:c r="AC45" s="9" t="n">
        <x:v>3190</x:v>
      </x:c>
      <x:c r="AD45" s="3" t="str">
        <x:v>/Users/yuntzuyu/Downloads/e-loan/Year/e-Loan YYYY-Insulet 2025.xls</x:v>
      </x:c>
    </x:row>
    <x:row r="46" ht="25" customHeight="1">
      <x:c r="A46" s="3" t="n">
        <x:v>41</x:v>
      </x:c>
      <x:c r="B46" s="3" t="str">
        <x:v>TRANSUNION</x:v>
      </x:c>
      <x:c r="C46" s="3" t="str">
        <x:v>2022-01-01~2022-12-31</x:v>
      </x:c>
      <x:c r="D46" s="3" t="str">
        <x:v>2022-12-31</x:v>
      </x:c>
      <x:c r="E46" s="3" t="str">
        <x:v>USD  million</x:v>
      </x:c>
      <x:c r="F46" s="3" t="str">
        <x:v>D</x:v>
      </x:c>
      <x:c r="G46" s="9" t="n">
        <x:v>585</x:v>
      </x:c>
      <x:c r="H46" s="9"/>
      <x:c r="I46" s="9" t="n">
        <x:v>602</x:v>
      </x:c>
      <x:c r="J46" s="9" t="n">
        <x:v>906</x:v>
      </x:c>
      <x:c r="K46" s="9"/>
      <x:c r="L46" s="9" t="n">
        <x:v>115</x:v>
      </x:c>
      <x:c r="M46" s="9" t="n">
        <x:v>5556</x:v>
      </x:c>
      <x:c r="N46" s="9" t="n">
        <x:v>0</x:v>
      </x:c>
      <x:c r="O46" s="9" t="n">
        <x:v>3710</x:v>
      </x:c>
      <x:c r="P46" s="9" t="n">
        <x:v>1223</x:v>
      </x:c>
      <x:c r="Q46" s="9" t="n">
        <x:v>2487</x:v>
      </x:c>
      <x:c r="R46" s="9" t="n">
        <x:v>1856</x:v>
      </x:c>
      <x:c r="S46" s="9" t="n">
        <x:v>631</x:v>
      </x:c>
      <x:c r="T46" s="9" t="n">
        <x:v>231</x:v>
      </x:c>
      <x:c r="U46" s="9" t="n">
        <x:v>388</x:v>
      </x:c>
      <x:c r="V46" s="9" t="n">
        <x:v>519</x:v>
      </x:c>
      <x:c r="W46" s="10" t="n">
        <x:v>1.3102</x:v>
      </x:c>
      <x:c r="X46" s="10" t="n">
        <x:v>1.7327000000000001</x:v>
      </x:c>
      <x:c r="Y46" s="11" t="n">
        <x:v>4.93</x:v>
      </x:c>
      <x:c r="Z46" s="9" t="n">
        <x:v>5556</x:v>
      </x:c>
      <x:c r="AA46" s="9" t="n">
        <x:v>7397</x:v>
      </x:c>
      <x:c r="AB46" s="9" t="n">
        <x:v>4269</x:v>
      </x:c>
      <x:c r="AC46" s="9" t="n">
        <x:v>11666</x:v>
      </x:c>
      <x:c r="AD46" s="3" t="str">
        <x:v>/Users/yuntzuyu/Downloads/e-loan/Year/e-Loan YYYY-TransUnion 2025.xls</x:v>
      </x:c>
    </x:row>
    <x:row r="47" ht="25" customHeight="1">
      <x:c r="A47" s="3" t="n">
        <x:v>42</x:v>
      </x:c>
      <x:c r="B47" s="3" t="str">
        <x:v>TRANSUNION</x:v>
      </x:c>
      <x:c r="C47" s="3" t="str">
        <x:v>2023-01-01~2023-12-31</x:v>
      </x:c>
      <x:c r="D47" s="3" t="str">
        <x:v>2023-12-31</x:v>
      </x:c>
      <x:c r="E47" s="3" t="str">
        <x:v>USD  million</x:v>
      </x:c>
      <x:c r="F47" s="3" t="str">
        <x:v>I</x:v>
      </x:c>
      <x:c r="G47" s="9" t="n">
        <x:v>476</x:v>
      </x:c>
      <x:c r="H47" s="9"/>
      <x:c r="I47" s="9" t="n">
        <x:v>723</x:v>
      </x:c>
      <x:c r="J47" s="9" t="n">
        <x:v>1003</x:v>
      </x:c>
      <x:c r="K47" s="9"/>
      <x:c r="L47" s="9" t="n">
        <x:v>90</x:v>
      </x:c>
      <x:c r="M47" s="9" t="n">
        <x:v>5251</x:v>
      </x:c>
      <x:c r="N47" s="9" t="n">
        <x:v>0</x:v>
      </x:c>
      <x:c r="O47" s="9" t="n">
        <x:v>3831</x:v>
      </x:c>
      <x:c r="P47" s="9" t="n">
        <x:v>1517</x:v>
      </x:c>
      <x:c r="Q47" s="9" t="n">
        <x:v>2314</x:v>
      </x:c>
      <x:c r="R47" s="9" t="n">
        <x:v>2185</x:v>
      </x:c>
      <x:c r="S47" s="9" t="n">
        <x:v>129</x:v>
      </x:c>
      <x:c r="T47" s="9" t="n">
        <x:v>288</x:v>
      </x:c>
      <x:c r="U47" s="9" t="n">
        <x:v>-145</x:v>
      </x:c>
      <x:c r="V47" s="9" t="n">
        <x:v>524</x:v>
      </x:c>
      <x:c r="W47" s="10" t="n">
        <x:v>1.1954</x:v>
      </x:c>
      <x:c r="X47" s="10" t="n">
        <x:v>1.7052</x:v>
      </x:c>
      <x:c r="Y47" s="11" t="n">
        <x:v>2.32</x:v>
      </x:c>
      <x:c r="Z47" s="9" t="n">
        <x:v>5251</x:v>
      </x:c>
      <x:c r="AA47" s="9" t="n">
        <x:v>7000</x:v>
      </x:c>
      <x:c r="AB47" s="9" t="n">
        <x:v>4105</x:v>
      </x:c>
      <x:c r="AC47" s="9" t="n">
        <x:v>11105</x:v>
      </x:c>
      <x:c r="AD47" s="3" t="str">
        <x:v>/Users/yuntzuyu/Downloads/e-loan/Year/e-Loan YYYY-TransUnion 2025.xls</x:v>
      </x:c>
    </x:row>
    <x:row r="48" ht="25" customHeight="1">
      <x:c r="A48" s="3" t="n">
        <x:v>43</x:v>
      </x:c>
      <x:c r="B48" s="3" t="str">
        <x:v>TRANSUNION</x:v>
      </x:c>
      <x:c r="C48" s="3" t="str">
        <x:v>2024-01-01~2024-12-31</x:v>
      </x:c>
      <x:c r="D48" s="3" t="str">
        <x:v>2024-12-31</x:v>
      </x:c>
      <x:c r="E48" s="3" t="str">
        <x:v>USD  million</x:v>
      </x:c>
      <x:c r="F48" s="3" t="str">
        <x:v>M</x:v>
      </x:c>
      <x:c r="G48" s="9" t="n">
        <x:v>680</x:v>
      </x:c>
      <x:c r="H48" s="9"/>
      <x:c r="I48" s="9" t="n">
        <x:v>799</x:v>
      </x:c>
      <x:c r="J48" s="9" t="n">
        <x:v>1060</x:v>
      </x:c>
      <x:c r="K48" s="9"/>
      <x:c r="L48" s="9" t="n">
        <x:v>71</x:v>
      </x:c>
      <x:c r="M48" s="9" t="n">
        <x:v>5077</x:v>
      </x:c>
      <x:c r="N48" s="9" t="n">
        <x:v>0</x:v>
      </x:c>
      <x:c r="O48" s="9" t="n">
        <x:v>4184</x:v>
      </x:c>
      <x:c r="P48" s="9" t="n">
        <x:v>1673</x:v>
      </x:c>
      <x:c r="Q48" s="9" t="n">
        <x:v>2511</x:v>
      </x:c>
      <x:c r="R48" s="9" t="n">
        <x:v>1844</x:v>
      </x:c>
      <x:c r="S48" s="9" t="n">
        <x:v>667</x:v>
      </x:c>
      <x:c r="T48" s="9" t="n">
        <x:v>265</x:v>
      </x:c>
      <x:c r="U48" s="9" t="n">
        <x:v>401</x:v>
      </x:c>
      <x:c r="V48" s="9" t="n">
        <x:v>524</x:v>
      </x:c>
      <x:c r="W48" s="10" t="n">
        <x:v>1.3953</x:v>
      </x:c>
      <x:c r="X48" s="10" t="n">
        <x:v>1.5444</x:v>
      </x:c>
      <x:c r="Y48" s="11" t="n">
        <x:v>4.49</x:v>
      </x:c>
      <x:c r="Z48" s="9" t="n">
        <x:v>5077</x:v>
      </x:c>
      <x:c r="AA48" s="9" t="n">
        <x:v>6667</x:v>
      </x:c>
      <x:c r="AB48" s="9" t="n">
        <x:v>4317</x:v>
      </x:c>
      <x:c r="AC48" s="9" t="n">
        <x:v>10984</x:v>
      </x:c>
      <x:c r="AD48" s="3" t="str">
        <x:v>/Users/yuntzuyu/Downloads/e-loan/Year/e-Loan YYYY-TransUnion 2025.xls</x:v>
      </x:c>
    </x:row>
    <x:row r="49" ht="25" customHeight="1">
      <x:c r="A49" s="3" t="n">
        <x:v>44</x:v>
      </x:c>
      <x:c r="B49" s="3" t="str">
        <x:v>TRANSUNION</x:v>
      </x:c>
      <x:c r="C49" s="3" t="str">
        <x:v>2025-01-01~2025-12-31</x:v>
      </x:c>
      <x:c r="D49" s="3" t="str">
        <x:v>2025-12-31</x:v>
      </x:c>
      <x:c r="E49" s="3" t="str">
        <x:v>USD  million</x:v>
      </x:c>
      <x:c r="F49" s="3" t="str">
        <x:v>R</x:v>
      </x:c>
      <x:c r="G49" s="9" t="n">
        <x:v>853</x:v>
      </x:c>
      <x:c r="H49" s="9"/>
      <x:c r="I49" s="9" t="n">
        <x:v>905</x:v>
      </x:c>
      <x:c r="J49" s="9" t="n">
        <x:v>1155</x:v>
      </x:c>
      <x:c r="K49" s="9"/>
      <x:c r="L49" s="9" t="n">
        <x:v>197</x:v>
      </x:c>
      <x:c r="M49" s="9" t="n">
        <x:v>4907</x:v>
      </x:c>
      <x:c r="N49" s="9" t="n">
        <x:v>0</x:v>
      </x:c>
      <x:c r="O49" s="9" t="n">
        <x:v>4576</x:v>
      </x:c>
      <x:c r="P49" s="9" t="n">
        <x:v>1872</x:v>
      </x:c>
      <x:c r="Q49" s="9" t="n">
        <x:v>2704</x:v>
      </x:c>
      <x:c r="R49" s="9" t="n">
        <x:v>1846</x:v>
      </x:c>
      <x:c r="S49" s="9" t="n">
        <x:v>858</x:v>
      </x:c>
      <x:c r="T49" s="9" t="n">
        <x:v>236</x:v>
      </x:c>
      <x:c r="U49" s="9" t="n">
        <x:v>643</x:v>
      </x:c>
      <x:c r="V49" s="9" t="n">
        <x:v>545</x:v>
      </x:c>
      <x:c r="W49" s="10" t="n">
        <x:v>1.5221</x:v>
      </x:c>
      <x:c r="X49" s="10" t="n">
        <x:v>1.4450999999999998</x:v>
      </x:c>
      <x:c r="Y49" s="11" t="n">
        <x:v>6.03</x:v>
      </x:c>
      <x:c r="Z49" s="9" t="n">
        <x:v>4907</x:v>
      </x:c>
      <x:c r="AA49" s="9" t="n">
        <x:v>6568</x:v>
      </x:c>
      <x:c r="AB49" s="9" t="n">
        <x:v>4545</x:v>
      </x:c>
      <x:c r="AC49" s="9" t="n">
        <x:v>11113</x:v>
      </x:c>
      <x:c r="AD49" s="3" t="str">
        <x:v>/Users/yuntzuyu/Downloads/e-loan/Year/e-Loan YYYY-TransUnion 2025.xls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30" hidden="0" customWidth="1"/>
  </x:cols>
  <x:sheetData>
    <x:row r="2">
      <x:c r="A2" s="1" t="str">
        <x:v>口徑說明</x:v>
      </x:c>
    </x:row>
    <x:row r="5" ht="32" customHeight="1">
      <x:c r="A5" s="5" t="str">
        <x:v>項目</x:v>
      </x:c>
      <x:c r="B5" s="5" t="str">
        <x:v>定義／限制／來源映射</x:v>
      </x:c>
    </x:row>
    <x:row r="6" ht="42" customHeight="1">
      <x:c r="A6" s="3" t="str">
        <x:v>範圍</x:v>
      </x:c>
      <x:c r="B6" s="16" t="str">
        <x:v>11份來源×4期＝44個來源期間；明細含每期11項（含補充EBITDA金額）。同期間不同來源保留各自版本。</x:v>
      </x:c>
    </x:row>
    <x:row r="7" ht="42" customHeight="1">
      <x:c r="A7" s="3" t="str">
        <x:v>金額單位</x:v>
      </x:c>
      <x:c r="B7" s="16" t="str">
        <x:v>原始數據／底稿／明細保留來源單位；最新各公司統一換算USD百萬。Nexstar/CROX千美元÷1000。</x:v>
      </x:c>
    </x:row>
    <x:row r="8" ht="42" customHeight="1">
      <x:c r="A8" s="3" t="str">
        <x:v>季度期間</x:v>
      </x:c>
      <x:c r="B8" s="16" t="str">
        <x:v>依原表第76列：Q2為1月1日至6月30日累計，Q1為1月1日至3月31日累計。不是單季Q2。</x:v>
      </x:c>
    </x:row>
    <x:row r="9" ht="42" customHeight="1">
      <x:c r="A9" s="3" t="str">
        <x:v>原始與公式</x:v>
      </x:c>
      <x:c r="B9" s="16" t="str">
        <x:v>來源XLS無儲存公式。原始值為擷取數據；本檔公式是核對或推算，不冒稱原Excel公式。</x:v>
      </x:c>
    </x:row>
    <x:row r="10" ht="42" customHeight="1">
      <x:c r="A10" s="3" t="str">
        <x:v>Total debt假設</x:v>
      </x:c>
      <x:c r="B10" s="16" t="str">
        <x:v>僅加總第41/43/55/56列；空白保留但小計不計入。不得視為確認無其他債務或租賃負債。</x:v>
      </x:c>
    </x:row>
    <x:row r="11" ht="42" customHeight="1">
      <x:c r="A11" s="3" t="str">
        <x:v>債務分類差異</x:v>
      </x:c>
      <x:c r="B11" s="16" t="str">
        <x:v>第54列長期負債合計可能包含其他項目；為避免混入非有息項目，採第55/56列；不再加第54列避免重複。</x:v>
      </x:c>
    </x:row>
    <x:row r="12" ht="42" customHeight="1">
      <x:c r="A12" s="3" t="str">
        <x:v>EBITDA basis</x:v>
      </x:c>
      <x:c r="B12" s="16" t="str">
        <x:v>主要口徑＝稅前損益＋利息＋折舊攤銷；底稿並列營業利益＋折舊攤銷及差額。未自行加回減損、重組、股酬等。</x:v>
      </x:c>
    </x:row>
    <x:row r="13" ht="42" customHeight="1">
      <x:c r="A13" s="3" t="str">
        <x:v>LTM可用性</x:v>
      </x:c>
      <x:c r="B13" s="16" t="str">
        <x:v>全年值直接作LTM；季度表R欄用M＋R−I；I欄缺前年度同期，標資料不足。D/M全年均可用。</x:v>
      </x:c>
    </x:row>
    <x:row r="14" ht="42" customHeight="1">
      <x:c r="A14" s="3" t="str">
        <x:v>總槓桿倍數</x:v>
      </x:c>
      <x:c r="B14" s="16" t="str">
        <x:v>列示債務合計÷LTM EBITDA；不扣現金；無契約條文，不能當作授信契約測試值。</x:v>
      </x:c>
    </x:row>
    <x:row r="15" ht="42" customHeight="1">
      <x:c r="A15" s="3" t="str">
        <x:v>Debt Ratio</x:v>
      </x:c>
      <x:c r="B15" s="16" t="str">
        <x:v>原表標題Debt Ratio，數值實為Total Liabilities/Total Net Worth；不是Total Liabilities/Total Assets。</x:v>
      </x:c>
    </x:row>
    <x:row r="16" ht="42" customHeight="1">
      <x:c r="A16" s="3" t="str">
        <x:v>驗算</x:v>
      </x:c>
      <x:c r="B16" s="16" t="str">
        <x:v>底稿S/T為金額差額，U/V為比例差額，W為倍數差額；原表比率四捨五入可能有小差額。</x:v>
      </x:c>
    </x:row>
    <x:row r="17" ht="42" customHeight="1">
      <x:c r="A17" s="3" t="str">
        <x:v>稅前損益來源品質</x:v>
      </x:c>
      <x:c r="B17" s="16" t="str">
        <x:v>部分公司稅前、稅後、所得稅欄位未完全勾稽，例如Insulet；依原報表第111列推算，不反向改寫來源。</x:v>
      </x:c>
    </x:row>
    <x:row r="18" ht="42" customHeight="1">
      <x:c r="A18" s="3" t="str">
        <x:v>來源定位</x:v>
      </x:c>
      <x:c r="B18" s="16" t="str">
        <x:v>每筆明細列示完整來源檔案與Report1原始儲存格；原始數據欄F記錄來源D/I/M/R欄。</x:v>
      </x:c>
    </x:row>
    <x:row r="19" ht="42" customHeight="1">
      <x:c r="A19" s="3" t="str">
        <x:v>原始數據G欄</x:v>
      </x:c>
      <x:c r="B19" s="16" t="str">
        <x:v>現金 ← 原始Report1第11列；與原始數據F欄組合為來源地址。</x:v>
      </x:c>
    </x:row>
    <x:row r="20" ht="42" customHeight="1">
      <x:c r="A20" s="3" t="str">
        <x:v>原始數據H欄</x:v>
      </x:c>
      <x:c r="B20" s="16" t="str">
        <x:v>流動金融資產 ← 原始Report1第12列；與原始數據F欄組合為來源地址。</x:v>
      </x:c>
    </x:row>
    <x:row r="21" ht="42" customHeight="1">
      <x:c r="A21" s="3" t="str">
        <x:v>原始數據I欄</x:v>
      </x:c>
      <x:c r="B21" s="16" t="str">
        <x:v>應收款項 ← 原始Report1第13列；與原始數據F欄組合為來源地址。</x:v>
      </x:c>
    </x:row>
    <x:row r="22" ht="42" customHeight="1">
      <x:c r="A22" s="3" t="str">
        <x:v>原始數據J欄</x:v>
      </x:c>
      <x:c r="B22" s="16" t="str">
        <x:v>流動負債 ← 原始Report1第40列；與原始數據F欄組合為來源地址。</x:v>
      </x:c>
    </x:row>
    <x:row r="23" ht="42" customHeight="1">
      <x:c r="A23" s="3" t="str">
        <x:v>原始數據K欄</x:v>
      </x:c>
      <x:c r="B23" s="16" t="str">
        <x:v>短期借款 ← 原始Report1第41列；與原始數據F欄組合為來源地址。</x:v>
      </x:c>
    </x:row>
    <x:row r="24" ht="42" customHeight="1">
      <x:c r="A24" s="3" t="str">
        <x:v>原始數據L欄</x:v>
      </x:c>
      <x:c r="B24" s="16" t="str">
        <x:v>一年內到期長債 ← 原始Report1第43列；與原始數據F欄組合為來源地址。</x:v>
      </x:c>
    </x:row>
    <x:row r="25" ht="42" customHeight="1">
      <x:c r="A25" s="3" t="str">
        <x:v>原始數據M欄</x:v>
      </x:c>
      <x:c r="B25" s="16" t="str">
        <x:v>長期銀行借款 ← 原始Report1第55列；與原始數據F欄組合為來源地址。</x:v>
      </x:c>
    </x:row>
    <x:row r="26" ht="42" customHeight="1">
      <x:c r="A26" s="3" t="str">
        <x:v>原始數據N欄</x:v>
      </x:c>
      <x:c r="B26" s="16" t="str">
        <x:v>公司債 ← 原始Report1第56列；與原始數據F欄組合為來源地址。</x:v>
      </x:c>
    </x:row>
    <x:row r="27" ht="42" customHeight="1">
      <x:c r="A27" s="3" t="str">
        <x:v>原始數據O欄</x:v>
      </x:c>
      <x:c r="B27" s="16" t="str">
        <x:v>營收 ← 原始Report1第80列；與原始數據F欄組合為來源地址。</x:v>
      </x:c>
    </x:row>
    <x:row r="28" ht="42" customHeight="1">
      <x:c r="A28" s="3" t="str">
        <x:v>原始數據P欄</x:v>
      </x:c>
      <x:c r="B28" s="16" t="str">
        <x:v>營收成本 ← 原始Report1第86列；與原始數據F欄組合為來源地址。</x:v>
      </x:c>
    </x:row>
    <x:row r="29" ht="42" customHeight="1">
      <x:c r="A29" s="3" t="str">
        <x:v>原始數據Q欄</x:v>
      </x:c>
      <x:c r="B29" s="16" t="str">
        <x:v>毛利 ← 原始Report1第94列；與原始數據F欄組合為來源地址。</x:v>
      </x:c>
    </x:row>
    <x:row r="30" ht="42" customHeight="1">
      <x:c r="A30" s="3" t="str">
        <x:v>原始數據R欄</x:v>
      </x:c>
      <x:c r="B30" s="16" t="str">
        <x:v>營業費用 ← 原始Report1第96列；與原始數據F欄組合為來源地址。</x:v>
      </x:c>
    </x:row>
    <x:row r="31" ht="42" customHeight="1">
      <x:c r="A31" s="3" t="str">
        <x:v>原始數據S欄</x:v>
      </x:c>
      <x:c r="B31" s="16" t="str">
        <x:v>營業利益 ← 原始Report1第97列；與原始數據F欄組合為來源地址。</x:v>
      </x:c>
    </x:row>
    <x:row r="32" ht="42" customHeight="1">
      <x:c r="A32" s="3" t="str">
        <x:v>原始數據T欄</x:v>
      </x:c>
      <x:c r="B32" s="16" t="str">
        <x:v>利息費用 ← 原始Report1第106列；與原始數據F欄組合為來源地址。</x:v>
      </x:c>
    </x:row>
    <x:row r="33" ht="42" customHeight="1">
      <x:c r="A33" s="3" t="str">
        <x:v>原始數據U欄</x:v>
      </x:c>
      <x:c r="B33" s="16" t="str">
        <x:v>稅前損益 ← 原始Report1第111列；與原始數據F欄組合為來源地址。</x:v>
      </x:c>
    </x:row>
    <x:row r="34" ht="42" customHeight="1">
      <x:c r="A34" s="3" t="str">
        <x:v>原始數據V欄</x:v>
      </x:c>
      <x:c r="B34" s="16" t="str">
        <x:v>折舊攤銷 ← 原始Report1第121列；與原始數據F欄組合為來源地址。</x:v>
      </x:c>
    </x:row>
    <x:row r="35" ht="42" customHeight="1">
      <x:c r="A35" s="3" t="str">
        <x:v>原始數據W欄</x:v>
      </x:c>
      <x:c r="B35" s="16" t="str">
        <x:v>速動比率 ← 原始Report1第198列；與原始數據F欄組合為來源地址。</x:v>
      </x:c>
    </x:row>
    <x:row r="36" ht="42" customHeight="1">
      <x:c r="A36" s="3" t="str">
        <x:v>原始數據X欄</x:v>
      </x:c>
      <x:c r="B36" s="16" t="str">
        <x:v>負債淨值比 ← 原始Report1第203列；與原始數據F欄組合為來源地址。</x:v>
      </x:c>
    </x:row>
    <x:row r="37" ht="42" customHeight="1">
      <x:c r="A37" s="3" t="str">
        <x:v>原始數據Y欄</x:v>
      </x:c>
      <x:c r="B37" s="16" t="str">
        <x:v>EBITDA/利息 ← 原始Report1第201列；與原始數據F欄組合為來源地址。</x:v>
      </x:c>
    </x:row>
    <x:row r="38" ht="42" customHeight="1">
      <x:c r="A38" s="3" t="str">
        <x:v>原始數據Z欄</x:v>
      </x:c>
      <x:c r="B38" s="16" t="str">
        <x:v>長期負債合計 ← 原始Report1第54列；與原始數據F欄組合為來源地址。</x:v>
      </x:c>
    </x:row>
    <x:row r="39" ht="42" customHeight="1">
      <x:c r="A39" s="3" t="str">
        <x:v>原始數據AA欄</x:v>
      </x:c>
      <x:c r="B39" s="16" t="str">
        <x:v>總負債 ← 原始Report1第62列；與原始數據F欄組合為來源地址。</x:v>
      </x:c>
    </x:row>
    <x:row r="40" ht="42" customHeight="1">
      <x:c r="A40" s="3" t="str">
        <x:v>原始數據AB欄</x:v>
      </x:c>
      <x:c r="B40" s="16" t="str">
        <x:v>淨值 ← 原始Report1第70列；與原始數據F欄組合為來源地址。</x:v>
      </x:c>
    </x:row>
    <x:row r="41" ht="42" customHeight="1">
      <x:c r="A41" s="3" t="str">
        <x:v>原始數據AC欄</x:v>
      </x:c>
      <x:c r="B41" s="16" t="str">
        <x:v>總資產 ← 原始Report1第39列；與原始數據F欄組合為來源地址。</x:v>
      </x:c>
    </x:row>
  </x:sheetData>
  <x:pageMargins left="0.7" right="0.7" top="0.75" bottom="0.75" header="0.3" footer="0.3"/>
</x:worksheet>
</file>