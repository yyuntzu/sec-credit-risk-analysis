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5496b5251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" sheetId="1" r:id="R74ae758d6bea42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0.00"/>
    <x:numFmt numFmtId="201" formatCode="0.00%;(0.00%);0.00%"/>
  </x:numFmts>
  <x:fonts count="11">
    <x:font>
      <x:sz val="11"/>
      <x:name val="Carlito"/>
    </x:font>
    <x:font>
      <x:b/>
      <x:sz val="15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5"/>
      <x:name val="Arial"/>
    </x:font>
    <x:font>
      <x:sz val="11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 wrapText="1"/>
    </x:xf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200" fontId="10" fillId="0" borderId="0" xfId="0" applyNumberFormat="1" applyFont="1" applyFill="1" applyBorder="1"/>
    <x:xf numFmtId="200" fontId="8" fillId="0" borderId="0" xfId="0" applyNumberFormat="1" applyFont="1" applyFill="1" applyBorder="1" applyAlignment="1">
      <x:alignment horizontal="right"/>
    </x:xf>
    <x:xf numFmtId="201" fontId="8" fillId="0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 applyAlignment="1">
      <x:alignment horizontal="right" wrapText="1"/>
    </x:xf>
    <x:xf numFmtId="0" fontId="9" fillId="2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21ebd6f4d45ce" /><Relationship Type="http://schemas.openxmlformats.org/officeDocument/2006/relationships/theme" Target="/xl/theme/theme1.xml" Id="R096809c5b1a54e15" /><Relationship Type="http://schemas.openxmlformats.org/officeDocument/2006/relationships/sharedStrings" Target="/xl/sharedStrings.xml" Id="R391e1dc8f46e42d0" /><Relationship Type="http://schemas.openxmlformats.org/officeDocument/2006/relationships/worksheet" Target="/xl/worksheets/sheet1.xml" Id="R74ae758d6bea42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2" ht="26" customHeight="1">
      <x:c r="A2" s="10" t="str">
        <x:v>Block（Square 母公司；XYZ）信用分析</x:v>
      </x:c>
      <x:c r="B2" s="11"/>
      <x:c r="C2" s="11"/>
      <x:c r="D2" s="11"/>
      <x:c r="E2" s="11"/>
    </x:row>
    <x:row r="3" ht="24" customHeight="1">
      <x:c r="A3" s="17" t="str">
        <x:v>USD 百萬元｜合併範圍（含非控制權益）｜截止日：2026-10-27｜master</x:v>
      </x:c>
      <x:c r="B3" s="17"/>
      <x:c r="C3" s="17"/>
      <x:c r="D3" s="17"/>
      <x:c r="E3" s="17"/>
    </x:row>
    <x:row r="4" ht="24" customHeight="1">
      <x:c r="A4" s="17" t="str">
        <x:v>FY2024、2025 Q2、FY2025、2026 Q2；兩期損益均採六個月 YTD。</x:v>
      </x:c>
      <x:c r="B4" s="17"/>
      <x:c r="C4" s="17"/>
      <x:c r="D4" s="17"/>
      <x:c r="E4" s="17"/>
    </x:row>
    <x:row r="5" ht="36" customHeight="1">
      <x:c r="A5" s="17" t="str">
        <x:v>待驗收：總額利息、速動資產及 Standard LTM EBITDA 尚未完成。客戶資金受限制，不視為公司可自由償債現金。</x:v>
      </x:c>
      <x:c r="B5" s="17"/>
      <x:c r="C5" s="17"/>
      <x:c r="D5" s="17"/>
      <x:c r="E5" s="17"/>
    </x:row>
    <x:row r="6" ht="36" customHeight="1">
      <x:c r="A6" s="17" t="str">
        <x:v>本次讀回核對 BigQuery 新入庫資料及補查證據；MD&amp;A 模型已回傳 13 主題並對照原文整理。dbt 與舊查詢未完整完成。</x:v>
      </x:c>
      <x:c r="B6" s="17"/>
      <x:c r="C6" s="17"/>
      <x:c r="D6" s="17"/>
      <x:c r="E6" s="17"/>
    </x:row>
    <x:row r="7">
      <x:c r="A7" s="18"/>
      <x:c r="B7" s="18"/>
      <x:c r="C7" s="18"/>
      <x:c r="D7" s="18"/>
      <x:c r="E7" s="18"/>
    </x:row>
    <x:row r="8" ht="24" customHeight="1">
      <x:c r="A8" s="17" t="str">
        <x:v>YTD (Quarterly) Income</x:v>
      </x:c>
      <x:c r="B8" s="17"/>
      <x:c r="C8" s="17"/>
      <x:c r="D8" s="17"/>
      <x:c r="E8" s="17"/>
    </x:row>
    <x:row r="9" ht="30" customHeight="1">
      <x:c r="A9" s="19" t="str">
        <x:v>Metric／科目</x:v>
      </x:c>
      <x:c r="B9" s="19" t="str">
        <x:v>H1 2025</x:v>
      </x:c>
      <x:c r="C9" s="19" t="str">
        <x:v>% revenue</x:v>
      </x:c>
      <x:c r="D9" s="19" t="str">
        <x:v>H1 2026</x:v>
      </x:c>
      <x:c r="E9" s="19" t="str">
        <x:v>% revenue</x:v>
      </x:c>
    </x:row>
    <x:row r="10">
      <x:c r="A10" s="18" t="str">
        <x:v>Total net revenue／營業收入</x:v>
      </x:c>
      <x:c r="B10" s="23" t="n">
        <x:f>IF(AND(ISNUMBER(B117)),B117,"缺少資料")</x:f>
        <x:v>11826.253</x:v>
      </x:c>
      <x:c r="C10" s="24" t="n">
        <x:f>IF(AND(ISNUMBER(B10),ISNUMBER(B117)),IF(B117=0,"無法計算",B10/B117),"缺少資料")</x:f>
        <x:v>1</x:v>
      </x:c>
      <x:c r="D10" s="23" t="n">
        <x:f>IF(AND(ISNUMBER(B151)),B151,"缺少資料")</x:f>
        <x:v>12674.534</x:v>
      </x:c>
      <x:c r="E10" s="24" t="n">
        <x:f>IF(AND(ISNUMBER(D10),ISNUMBER(B151)),IF(B151=0,"無法計算",D10/B151),"缺少資料")</x:f>
        <x:v>1</x:v>
      </x:c>
    </x:row>
    <x:row r="11">
      <x:c r="A11" s="18" t="str">
        <x:v>Cost of revenue／營業成本</x:v>
      </x:c>
      <x:c r="B11" s="23" t="n">
        <x:f>IF(AND(ISNUMBER(B118)),B118,"缺少資料")</x:f>
        <x:v>7000.12</x:v>
      </x:c>
      <x:c r="C11" s="24" t="n">
        <x:f>IF(AND(ISNUMBER(B11),ISNUMBER(B117)),IF(B117=0,"無法計算",B11/B117),"缺少資料")</x:f>
        <x:v>0.591913601036609</x:v>
      </x:c>
      <x:c r="D11" s="23" t="n">
        <x:f>IF(AND(ISNUMBER(B152)),B152,"缺少資料")</x:f>
        <x:v>6599.214</x:v>
      </x:c>
      <x:c r="E11" s="24" t="n">
        <x:f>IF(AND(ISNUMBER(D11),ISNUMBER(B151)),IF(B151=0,"無法計算",D11/B151),"缺少資料")</x:f>
        <x:v>0.5206671898154205</x:v>
      </x:c>
    </x:row>
    <x:row r="12">
      <x:c r="A12" s="18" t="str">
        <x:v>Gross profit／毛利</x:v>
      </x:c>
      <x:c r="B12" s="23" t="n">
        <x:f>IF(AND(ISNUMBER(B119)),B119,"缺少資料")</x:f>
        <x:v>4826.133</x:v>
      </x:c>
      <x:c r="C12" s="24" t="n">
        <x:f>IF(AND(ISNUMBER(B12),ISNUMBER(B117)),IF(B117=0,"無法計算",B12/B117),"缺少資料")</x:f>
        <x:v>0.408086398963391</x:v>
      </x:c>
      <x:c r="D12" s="23" t="n">
        <x:f>IF(AND(ISNUMBER(B153)),B153,"缺少資料")</x:f>
        <x:v>6075.32</x:v>
      </x:c>
      <x:c r="E12" s="24" t="n">
        <x:f>IF(AND(ISNUMBER(D12),ISNUMBER(B151)),IF(B151=0,"無法計算",D12/B151),"缺少資料")</x:f>
        <x:v>0.47933281018457957</x:v>
      </x:c>
    </x:row>
    <x:row r="13">
      <x:c r="A13" s="18" t="str">
        <x:v>Operating expenses／營業費用</x:v>
      </x:c>
      <x:c r="B13" s="23" t="n">
        <x:f>IF(AND(ISNUMBER(B119),ISNUMBER(B120)),B119-B120,"缺少資料")</x:f>
        <x:v>4012.5379999999996</x:v>
      </x:c>
      <x:c r="C13" s="24" t="n">
        <x:f>IF(AND(ISNUMBER(B13),ISNUMBER(B117)),IF(B117=0,"無法計算",B13/B117),"缺少資料")</x:f>
        <x:v>0.33929072885553857</x:v>
      </x:c>
      <x:c r="D13" s="23" t="n">
        <x:f>IF(AND(ISNUMBER(B153),ISNUMBER(B154)),B153-B154,"缺少資料")</x:f>
        <x:v>5800.44</x:v>
      </x:c>
      <x:c r="E13" s="24" t="n">
        <x:f>IF(AND(ISNUMBER(D13),ISNUMBER(B151)),IF(B151=0,"無法計算",D13/B151),"缺少資料")</x:f>
        <x:v>0.4576452278245496</x:v>
      </x:c>
    </x:row>
    <x:row r="14">
      <x:c r="A14" s="18" t="str">
        <x:v>Operating income／營業利益</x:v>
      </x:c>
      <x:c r="B14" s="23" t="n">
        <x:f>IF(AND(ISNUMBER(B120)),B120,"缺少資料")</x:f>
        <x:v>813.595</x:v>
      </x:c>
      <x:c r="C14" s="24" t="n">
        <x:f>IF(AND(ISNUMBER(B14),ISNUMBER(B117)),IF(B117=0,"無法計算",B14/B117),"缺少資料")</x:f>
        <x:v>0.06879567010785242</x:v>
      </x:c>
      <x:c r="D14" s="23" t="n">
        <x:f>IF(AND(ISNUMBER(B154)),B154,"缺少資料")</x:f>
        <x:v>274.88</x:v>
      </x:c>
      <x:c r="E14" s="24" t="n">
        <x:f>IF(AND(ISNUMBER(D14),ISNUMBER(B151)),IF(B151=0,"無法計算",D14/B151),"缺少資料")</x:f>
        <x:v>0.02168758236002996</x:v>
      </x:c>
    </x:row>
    <x:row r="15">
      <x:c r="A15" s="18" t="str">
        <x:v>Gross interest expense／總額利息費用</x:v>
      </x:c>
      <x:c r="B15" s="25" t="str">
        <x:v>待核實總額</x:v>
      </x:c>
      <x:c r="C15" s="25" t="str">
        <x:v>無法計算</x:v>
      </x:c>
      <x:c r="D15" s="25" t="str">
        <x:v>待核實總額</x:v>
      </x:c>
      <x:c r="E15" s="25" t="str">
        <x:v>無法計算</x:v>
      </x:c>
    </x:row>
    <x:row r="16">
      <x:c r="A16" s="18" t="str">
        <x:v>Income before tax／稅前損益</x:v>
      </x:c>
      <x:c r="B16" s="23" t="n">
        <x:f>IF(AND(ISNUMBER(B121)),B121,"缺少資料")</x:f>
        <x:v>886.432</x:v>
      </x:c>
      <x:c r="C16" s="24" t="n">
        <x:f>IF(AND(ISNUMBER(B16),ISNUMBER(B117)),IF(B117=0,"無法計算",B16/B117),"缺少資料")</x:f>
        <x:v>0.07495459466324625</x:v>
      </x:c>
      <x:c r="D16" s="23" t="n">
        <x:f>IF(AND(ISNUMBER(B155)),B155,"缺少資料")</x:f>
        <x:v>-91.101</x:v>
      </x:c>
      <x:c r="E16" s="24" t="n">
        <x:f>IF(AND(ISNUMBER(D16),ISNUMBER(B151)),IF(B151=0,"無法計算",D16/B151),"缺少資料")</x:f>
        <x:v>-0.007187719879878819</x:v>
      </x:c>
    </x:row>
    <x:row r="17">
      <x:c r="A17" s="18" t="str">
        <x:v>Income tax expense／所得稅費用</x:v>
      </x:c>
      <x:c r="B17" s="23" t="n">
        <x:f>IF(AND(ISNUMBER(B122)),B122,"缺少資料")</x:f>
        <x:v>159.376</x:v>
      </x:c>
      <x:c r="C17" s="24" t="n">
        <x:f>IF(AND(ISNUMBER(B17),ISNUMBER(B117)),IF(B117=0,"無法計算",B17/B117),"缺少資料")</x:f>
        <x:v>0.013476457843409912</x:v>
      </x:c>
      <x:c r="D17" s="23" t="n">
        <x:f>IF(AND(ISNUMBER(B156)),B156,"缺少資料")</x:f>
        <x:v>130.425</x:v>
      </x:c>
      <x:c r="E17" s="24" t="n">
        <x:f>IF(AND(ISNUMBER(D17),ISNUMBER(B151)),IF(B151=0,"無法計算",D17/B151),"缺少資料")</x:f>
        <x:v>0.01029031915492909</x:v>
      </x:c>
    </x:row>
    <x:row r="18">
      <x:c r="A18" s="18" t="str">
        <x:v>Consolidated net income／合併稅後損益</x:v>
      </x:c>
      <x:c r="B18" s="23" t="n">
        <x:f>IF(AND(ISNUMBER(B121),ISNUMBER(B122)),B121-B122,"缺少資料")</x:f>
        <x:v>727.056</x:v>
      </x:c>
      <x:c r="C18" s="24" t="n">
        <x:f>IF(AND(ISNUMBER(B18),ISNUMBER(B117)),IF(B117=0,"無法計算",B18/B117),"缺少資料")</x:f>
        <x:v>0.06147813681983634</x:v>
      </x:c>
      <x:c r="D18" s="23" t="n">
        <x:f>IF(AND(ISNUMBER(B155),ISNUMBER(B156)),B155-B156,"缺少資料")</x:f>
        <x:v>-221.526</x:v>
      </x:c>
      <x:c r="E18" s="24" t="n">
        <x:f>IF(AND(ISNUMBER(D18),ISNUMBER(B151)),IF(B151=0,"無法計算",D18/B151),"缺少資料")</x:f>
        <x:v>-0.017478039034807907</x:v>
      </x:c>
    </x:row>
    <x:row r="19">
      <x:c r="A19" s="18"/>
      <x:c r="B19" s="25"/>
      <x:c r="C19" s="25"/>
      <x:c r="D19" s="25"/>
      <x:c r="E19" s="25"/>
    </x:row>
    <x:row r="20" ht="32" customHeight="1">
      <x:c r="A20" s="17" t="str">
        <x:v>合併淨利 = 稅前損益 − 帶符號稅費，與歸屬普通股股東淨利分開；淨利息揭露於下方分析，不替代總額費用。</x:v>
      </x:c>
      <x:c r="B20" s="26"/>
      <x:c r="C20" s="26"/>
      <x:c r="D20" s="26"/>
      <x:c r="E20" s="26"/>
    </x:row>
    <x:row r="21">
      <x:c r="A21" s="18"/>
      <x:c r="B21" s="25"/>
      <x:c r="C21" s="25"/>
      <x:c r="D21" s="25"/>
      <x:c r="E21" s="25"/>
    </x:row>
    <x:row r="22" ht="54" customHeight="1">
      <x:c r="A22" s="17" t="str">
        <x:v>上半年營收由 USD 11,826.25m 增至 12,674.53m（7.17%）。管理階層指出，Commerce enablement 與 Financial solutions 的成長抵銷 Bitcoin ecosystem 收入下降；Cash App Borrow、Square processing 等產品是主要成長來源。</x:v>
      </x:c>
      <x:c r="B22" s="26"/>
      <x:c r="C22" s="26"/>
      <x:c r="D22" s="26"/>
      <x:c r="E22" s="26"/>
    </x:row>
    <x:row r="23" ht="54" customHeight="1">
      <x:c r="A23" s="17" t="str">
        <x:v>毛利成長 25.88%，毛利率由 40.81% 升至 47.93%。低毛利 Bitcoin ecosystem 收入占比下降及較高毛利金融產品成長改善組合；總營收受 Bitcoin 總額認列影響，因此毛利也是重要觀察指標。</x:v>
      </x:c>
      <x:c r="B23" s="26"/>
      <x:c r="C23" s="26"/>
      <x:c r="D23" s="26"/>
      <x:c r="E23" s="26"/>
    </x:row>
    <x:row r="24" ht="54" customHeight="1">
      <x:c r="A24" s="17" t="str">
        <x:v>營業利益由 USD 813.60m 降至 274.88m，營業利益率由 6.88% 降至 2.17%。MD&amp;A 說明訴訟／監管提列、信用損失與 Workforce Plan 重整費用推高營業費用；毛利成長尚未轉為 GAAP 營業利益成長。</x:v>
      </x:c>
      <x:c r="B24" s="26"/>
      <x:c r="C24" s="26"/>
      <x:c r="D24" s="26"/>
      <x:c r="E24" s="26"/>
    </x:row>
    <x:row r="25" ht="54" customHeight="1">
      <x:c r="A25" s="17" t="str">
        <x:v>報表揭露的淨利息費用由 USD 40.93m 增至 108.92m，原文歸因於 2025 年第三季發行的 2030／2033 Senior Notes。這是淨額，未直接填入要求總額費用的正式科目；warehouse 利息另列於 G&amp;A，仍須完整核對。</x:v>
      </x:c>
      <x:c r="B25" s="26"/>
      <x:c r="C25" s="26"/>
      <x:c r="D25" s="26"/>
      <x:c r="E25" s="26"/>
    </x:row>
    <x:row r="26" ht="54" customHeight="1">
      <x:c r="A26" s="17" t="str">
        <x:v>稅前損益由 USD 886.43m 轉為 -91.10m；原文指出，營業利益下降另受 Bitcoin 投資重估由利益轉為損失及淨利息費用增加影響。合併稅後損益由 727.06m 轉為 -221.53m；未將歸屬普通股股東損益混用為合併淨利。</x:v>
      </x:c>
      <x:c r="B26" s="26"/>
      <x:c r="C26" s="26"/>
      <x:c r="D26" s="26"/>
      <x:c r="E26" s="26"/>
    </x:row>
    <x:row r="27">
      <x:c r="A27" s="18"/>
      <x:c r="B27" s="25"/>
      <x:c r="C27" s="25"/>
      <x:c r="D27" s="25"/>
      <x:c r="E27" s="25"/>
    </x:row>
    <x:row r="28" ht="24" customHeight="1">
      <x:c r="A28" s="17" t="str">
        <x:v>Ratios YTD</x:v>
      </x:c>
      <x:c r="B28" s="26"/>
      <x:c r="C28" s="26"/>
      <x:c r="D28" s="26"/>
      <x:c r="E28" s="26"/>
    </x:row>
    <x:row r="29" ht="30" customHeight="1">
      <x:c r="A29" s="19" t="str">
        <x:v>Metric／科目</x:v>
      </x:c>
      <x:c r="B29" s="27" t="str">
        <x:v>2024-12-31</x:v>
      </x:c>
      <x:c r="C29" s="27" t="str">
        <x:v>2025-06-30</x:v>
      </x:c>
      <x:c r="D29" s="27" t="str">
        <x:v>2025-12-31</x:v>
      </x:c>
      <x:c r="E29" s="27" t="str">
        <x:v>2026-06-30</x:v>
      </x:c>
    </x:row>
    <x:row r="30">
      <x:c r="A30" s="18" t="str">
        <x:v>Current ratio／流動比率</x:v>
      </x:c>
      <x:c r="B30" s="24" t="n">
        <x:f>IF(AND(ISNUMBER(B108),ISNUMBER(B109)),IF(B109=0,"無法計算",B108/B109),"缺少資料")</x:f>
        <x:v>2.326040816689478</x:v>
      </x:c>
      <x:c r="C30" s="24" t="n">
        <x:f>IF(AND(ISNUMBER(B125),ISNUMBER(B126)),IF(B126=0,"無法計算",B125/B126),"缺少資料")</x:f>
        <x:v>1.9568113952161554</x:v>
      </x:c>
      <x:c r="D30" s="24" t="n">
        <x:f>IF(AND(ISNUMBER(B142),ISNUMBER(B143)),IF(B143=0,"無法計算",B142/B143),"缺少資料")</x:f>
        <x:v>2.201065823355283</x:v>
      </x:c>
      <x:c r="E30" s="24" t="n">
        <x:f>IF(AND(ISNUMBER(B159),ISNUMBER(B160)),IF(B160=0,"無法計算",B159/B160),"缺少資料")</x:f>
        <x:v>2.2087963726872766</x:v>
      </x:c>
    </x:row>
    <x:row r="31">
      <x:c r="A31" s="18" t="str">
        <x:v>Quick ratio／速動比率</x:v>
      </x:c>
      <x:c r="B31" s="25" t="str">
        <x:v>待核實 Quick Assets</x:v>
      </x:c>
      <x:c r="C31" s="25" t="str">
        <x:v>待核實 Quick Assets</x:v>
      </x:c>
      <x:c r="D31" s="25" t="str">
        <x:v>待核實 Quick Assets</x:v>
      </x:c>
      <x:c r="E31" s="25" t="str">
        <x:v>待核實 Quick Assets</x:v>
      </x:c>
    </x:row>
    <x:row r="32">
      <x:c r="A32" s="18" t="str">
        <x:v>Debt ratio／總負債÷合併權益</x:v>
      </x:c>
      <x:c r="B32" s="24" t="n">
        <x:f>IF(AND(ISNUMBER(B111),ISNUMBER(B115)),IF(B115=0,"無法計算",B111/B115),"缺少資料")</x:f>
        <x:v>0.7319359931042024</x:v>
      </x:c>
      <x:c r="C32" s="24" t="n">
        <x:f>IF(AND(ISNUMBER(B128),ISNUMBER(B132)),IF(B132=0,"無法計算",B128/B132),"缺少資料")</x:f>
        <x:v>0.6660747157288477</x:v>
      </x:c>
      <x:c r="D32" s="24" t="n">
        <x:f>IF(AND(ISNUMBER(B145),ISNUMBER(B149)),IF(B149=0,"無法計算",B145/B149),"缺少資料")</x:f>
        <x:v>0.783946662413449</x:v>
      </x:c>
      <x:c r="E32" s="24" t="n">
        <x:f>IF(AND(ISNUMBER(B162),ISNUMBER(B166)),IF(B166=0,"無法計算",B162/B166),"缺少資料")</x:f>
        <x:v>0.7789334004866678</x:v>
      </x:c>
    </x:row>
    <x:row r="33">
      <x:c r="A33" s="18"/>
      <x:c r="B33" s="25"/>
      <x:c r="C33" s="25"/>
      <x:c r="D33" s="25"/>
      <x:c r="E33" s="25"/>
    </x:row>
    <x:row r="34" ht="50" customHeight="1">
      <x:c r="A34" s="17" t="str">
        <x:v>流動比率由 2025 年底 220.11% 變為 2026 年 6 月底 220.88%。該比率包含客戶資金及應付客戶款等支付業務項目，不能單憑比率判定公司可自由償債現金。速動比率保留待核實，未把受限制客戶資金或全部貸款列為 Quick Assets。</x:v>
      </x:c>
      <x:c r="B34" s="26"/>
      <x:c r="C34" s="26"/>
      <x:c r="D34" s="26"/>
      <x:c r="E34" s="26"/>
    </x:row>
    <x:row r="35" ht="50" customHeight="1">
      <x:c r="A35" s="17" t="str">
        <x:v>總負債／含非控制權益的合併權益由 78.39% 降至 77.89%；本表採 liabilities / equity，不是 liabilities / assets。數字已以 assets = liabilities + consolidated equity 勾稽。</x:v>
      </x:c>
      <x:c r="B35" s="26"/>
      <x:c r="C35" s="26"/>
      <x:c r="D35" s="26"/>
      <x:c r="E35" s="26"/>
    </x:row>
    <x:row r="36">
      <x:c r="A36" s="18"/>
      <x:c r="B36" s="25"/>
      <x:c r="C36" s="25"/>
      <x:c r="D36" s="25"/>
      <x:c r="E36" s="25"/>
    </x:row>
    <x:row r="37" ht="24" customHeight="1">
      <x:c r="A37" s="17" t="str">
        <x:v>Leverage Analysis YTD</x:v>
      </x:c>
      <x:c r="B37" s="26"/>
      <x:c r="C37" s="26"/>
      <x:c r="D37" s="26"/>
      <x:c r="E37" s="26"/>
    </x:row>
    <x:row r="38" ht="30" customHeight="1">
      <x:c r="A38" s="19" t="str">
        <x:v>Metric／科目</x:v>
      </x:c>
      <x:c r="B38" s="27" t="str">
        <x:v>2024-12-31</x:v>
      </x:c>
      <x:c r="C38" s="27" t="str">
        <x:v>2025-06-30</x:v>
      </x:c>
      <x:c r="D38" s="27" t="str">
        <x:v>2025-12-31</x:v>
      </x:c>
      <x:c r="E38" s="27" t="str">
        <x:v>2026-06-30</x:v>
      </x:c>
    </x:row>
    <x:row r="39">
      <x:c r="A39" s="18" t="str">
        <x:v>Total debt／票據＋warehouse 本金</x:v>
      </x:c>
      <x:c r="B39" s="23" t="n">
        <x:f>IF(AND(ISNUMBER(B113),ISNUMBER(B114)),B113+B114,"缺少資料")</x:f>
        <x:v>7631.68</x:v>
      </x:c>
      <x:c r="C39" s="23" t="n">
        <x:f>IF(AND(ISNUMBER(B130),ISNUMBER(B131)),B130+B131,"缺少資料")</x:f>
        <x:v>5853.924</x:v>
      </x:c>
      <x:c r="D39" s="23" t="n">
        <x:f>IF(AND(ISNUMBER(B147),ISNUMBER(B148)),B147+B148,"缺少資料")</x:f>
        <x:v>8714.883</x:v>
      </x:c>
      <x:c r="E39" s="23" t="n">
        <x:f>IF(AND(ISNUMBER(B164),ISNUMBER(B165)),B164+B165,"缺少資料")</x:f>
        <x:v>6936.9439999999995</x:v>
      </x:c>
    </x:row>
    <x:row r="40">
      <x:c r="A40" s="18" t="str">
        <x:v>LTM Standard EBITDA</x:v>
      </x:c>
      <x:c r="B40" s="25" t="str">
        <x:v>待核實總額利息</x:v>
      </x:c>
      <x:c r="C40" s="25" t="str">
        <x:v>待核實總額利息</x:v>
      </x:c>
      <x:c r="D40" s="25" t="str">
        <x:v>待核實總額利息</x:v>
      </x:c>
      <x:c r="E40" s="25" t="str">
        <x:v>待核實總額利息</x:v>
      </x:c>
    </x:row>
    <x:row r="41" ht="36" customHeight="1">
      <x:c r="A41" s="18" t="str">
        <x:v>EBITDA basis</x:v>
      </x:c>
      <x:c r="B41" s="26" t="str">
        <x:v>NI + Interest + Taxes + D&amp;A</x:v>
      </x:c>
      <x:c r="C41" s="26" t="str">
        <x:v>NI + Interest + Taxes + D&amp;A</x:v>
      </x:c>
      <x:c r="D41" s="26" t="str">
        <x:v>NI + Interest + Taxes + D&amp;A</x:v>
      </x:c>
      <x:c r="E41" s="26" t="str">
        <x:v>NI + Interest + Taxes + D&amp;A</x:v>
      </x:c>
    </x:row>
    <x:row r="42">
      <x:c r="A42" s="18" t="str">
        <x:v>Total leverage／總槓桿倍數</x:v>
      </x:c>
      <x:c r="B42" s="25" t="str">
        <x:v>無法計算</x:v>
      </x:c>
      <x:c r="C42" s="25" t="str">
        <x:v>無法計算</x:v>
      </x:c>
      <x:c r="D42" s="25" t="str">
        <x:v>無法計算</x:v>
      </x:c>
      <x:c r="E42" s="25" t="str">
        <x:v>無法計算</x:v>
      </x:c>
    </x:row>
    <x:row r="43">
      <x:c r="A43" s="18"/>
      <x:c r="B43" s="18"/>
      <x:c r="C43" s="18"/>
      <x:c r="D43" s="18"/>
      <x:c r="E43" s="18"/>
    </x:row>
    <x:row r="44" ht="52" customHeight="1">
      <x:c r="A44" s="17" t="str">
        <x:v>票據本金加 warehouse 借款本金由 2025 年底 USD 8,714.88m 降至 6,936.94m。票據本金下降 USD 1,575.00m，與 2026 年到期票據償還一致；warehouse 餘額下降 202.94m。未將未動用額度或客戶應付款加入借款。</x:v>
      </x:c>
      <x:c r="B44" s="17"/>
      <x:c r="C44" s="17"/>
      <x:c r="D44" s="17"/>
      <x:c r="E44" s="17"/>
    </x:row>
    <x:row r="45" ht="52" customHeight="1">
      <x:c r="A45" s="17" t="str">
        <x:v>Standard EBITDA 保留待核實：需總額費用化利息並涵蓋票據及 G&amp;A 中的 warehouse 利息；淨利息費用或公司 Adjusted EBITDA 均不替代。未以 operating income 或 YTD 年化冒充 LTM。</x:v>
      </x:c>
      <x:c r="B45" s="17"/>
      <x:c r="C45" s="17"/>
      <x:c r="D45" s="17"/>
      <x:c r="E45" s="17"/>
    </x:row>
    <x:row r="46" ht="52" customHeight="1">
      <x:c r="A46" s="17" t="str">
        <x:v>總槓桿倍數暫不計算，因 Standard LTM EBITDA 尚未完成。信用判斷上，借款本金下降是可觀察的改善，但毛利成長、GAAP 利潤壓力、貸款信用損失及支付客戶資金限制須一併評估，不能僅以 Adjusted EBITDA 判斷償債能力。</x:v>
      </x:c>
      <x:c r="B46" s="17"/>
      <x:c r="C46" s="17"/>
      <x:c r="D46" s="17"/>
      <x:c r="E46" s="17"/>
    </x:row>
    <x:row r="47">
      <x:c r="A47" s="18"/>
      <x:c r="B47" s="18"/>
      <x:c r="C47" s="18"/>
      <x:c r="D47" s="18"/>
      <x:c r="E47" s="18"/>
    </x:row>
    <x:row r="48" ht="34" customHeight="1">
      <x:c r="A48" s="17" t="str">
        <x:v>來源：https://www.sec.gov/Archives/edgar/data/1512673/000162828026053368/xyz-20260630.htm</x:v>
      </x:c>
      <x:c r="B48" s="17"/>
      <x:c r="C48" s="17"/>
      <x:c r="D48" s="17"/>
      <x:c r="E48" s="17"/>
    </x:row>
    <x:row r="49" ht="32" customHeight="1">
      <x:c r="A49" s="17" t="str">
        <x:v>下方來源區含原始標籤、日期、BigQuery fact IDs 或附註定位。完整核對與剩餘項目保留於 validation.json。</x:v>
      </x:c>
      <x:c r="B49" s="17"/>
      <x:c r="C49" s="17"/>
      <x:c r="D49" s="17"/>
      <x:c r="E49" s="17"/>
    </x:row>
    <x:row r="50">
      <x:c r="A50" s="18"/>
      <x:c r="B50" s="18"/>
      <x:c r="C50" s="18"/>
      <x:c r="D50" s="18"/>
      <x:c r="E50" s="18"/>
    </x:row>
    <x:row r="51">
      <x:c r="A51" s="18"/>
      <x:c r="B51" s="18"/>
      <x:c r="C51" s="18"/>
      <x:c r="D51" s="18"/>
      <x:c r="E51" s="18"/>
    </x:row>
    <x:row r="52">
      <x:c r="A52" s="18"/>
      <x:c r="B52" s="18"/>
      <x:c r="C52" s="18"/>
      <x:c r="D52" s="18"/>
      <x:c r="E52" s="18"/>
    </x:row>
    <x:row r="53">
      <x:c r="A53" s="18"/>
      <x:c r="B53" s="18"/>
      <x:c r="C53" s="18"/>
      <x:c r="D53" s="18"/>
      <x:c r="E53" s="18"/>
    </x:row>
    <x:row r="54">
      <x:c r="A54" s="18"/>
      <x:c r="B54" s="18"/>
      <x:c r="C54" s="18"/>
      <x:c r="D54" s="18"/>
      <x:c r="E54" s="18"/>
    </x:row>
    <x:row r="55">
      <x:c r="A55" s="18"/>
      <x:c r="B55" s="18"/>
      <x:c r="C55" s="18"/>
      <x:c r="D55" s="18"/>
      <x:c r="E55" s="18"/>
    </x:row>
    <x:row r="56">
      <x:c r="A56" s="18"/>
      <x:c r="B56" s="18"/>
      <x:c r="C56" s="18"/>
      <x:c r="D56" s="18"/>
      <x:c r="E56" s="18"/>
    </x:row>
    <x:row r="57">
      <x:c r="A57" s="18"/>
      <x:c r="B57" s="18"/>
      <x:c r="C57" s="18"/>
      <x:c r="D57" s="18"/>
      <x:c r="E57" s="18"/>
    </x:row>
    <x:row r="58">
      <x:c r="A58" s="18"/>
      <x:c r="B58" s="18"/>
      <x:c r="C58" s="18"/>
      <x:c r="D58" s="18"/>
      <x:c r="E58" s="18"/>
    </x:row>
    <x:row r="59">
      <x:c r="A59" s="18"/>
      <x:c r="B59" s="18"/>
      <x:c r="C59" s="18"/>
      <x:c r="D59" s="18"/>
      <x:c r="E59" s="18"/>
    </x:row>
    <x:row r="60">
      <x:c r="A60" s="18"/>
      <x:c r="B60" s="18"/>
      <x:c r="C60" s="18"/>
      <x:c r="D60" s="18"/>
      <x:c r="E60" s="18"/>
    </x:row>
    <x:row r="61">
      <x:c r="A61" s="18"/>
      <x:c r="B61" s="18"/>
      <x:c r="C61" s="18"/>
      <x:c r="D61" s="18"/>
      <x:c r="E61" s="18"/>
    </x:row>
    <x:row r="62">
      <x:c r="A62" s="18"/>
      <x:c r="B62" s="18"/>
      <x:c r="C62" s="18"/>
      <x:c r="D62" s="18"/>
      <x:c r="E62" s="18"/>
    </x:row>
    <x:row r="63">
      <x:c r="A63" s="18"/>
      <x:c r="B63" s="18"/>
      <x:c r="C63" s="18"/>
      <x:c r="D63" s="18"/>
      <x:c r="E63" s="18"/>
    </x:row>
    <x:row r="64">
      <x:c r="A64" s="18"/>
      <x:c r="B64" s="18"/>
      <x:c r="C64" s="18"/>
      <x:c r="D64" s="18"/>
      <x:c r="E64" s="18"/>
    </x:row>
    <x:row r="65">
      <x:c r="A65" s="18"/>
      <x:c r="B65" s="18"/>
      <x:c r="C65" s="18"/>
      <x:c r="D65" s="18"/>
      <x:c r="E65" s="18"/>
    </x:row>
    <x:row r="66">
      <x:c r="A66" s="18"/>
      <x:c r="B66" s="18"/>
      <x:c r="C66" s="18"/>
      <x:c r="D66" s="18"/>
      <x:c r="E66" s="18"/>
    </x:row>
    <x:row r="67">
      <x:c r="A67" s="18"/>
      <x:c r="B67" s="18"/>
      <x:c r="C67" s="18"/>
      <x:c r="D67" s="18"/>
      <x:c r="E67" s="18"/>
    </x:row>
    <x:row r="68">
      <x:c r="A68" s="18"/>
      <x:c r="B68" s="18"/>
      <x:c r="C68" s="18"/>
      <x:c r="D68" s="18"/>
      <x:c r="E68" s="18"/>
    </x:row>
    <x:row r="69">
      <x:c r="A69" s="18"/>
      <x:c r="B69" s="18"/>
      <x:c r="C69" s="18"/>
      <x:c r="D69" s="18"/>
      <x:c r="E69" s="18"/>
    </x:row>
    <x:row r="70">
      <x:c r="A70" s="18"/>
      <x:c r="B70" s="18"/>
      <x:c r="C70" s="18"/>
      <x:c r="D70" s="18"/>
      <x:c r="E70" s="18"/>
    </x:row>
    <x:row r="71">
      <x:c r="A71" s="18"/>
      <x:c r="B71" s="18"/>
      <x:c r="C71" s="18"/>
      <x:c r="D71" s="18"/>
      <x:c r="E71" s="18"/>
    </x:row>
    <x:row r="72">
      <x:c r="A72" s="18"/>
      <x:c r="B72" s="18"/>
      <x:c r="C72" s="18"/>
      <x:c r="D72" s="18"/>
      <x:c r="E72" s="18"/>
    </x:row>
    <x:row r="73">
      <x:c r="A73" s="18"/>
      <x:c r="B73" s="18"/>
      <x:c r="C73" s="18"/>
      <x:c r="D73" s="18"/>
      <x:c r="E73" s="18"/>
    </x:row>
    <x:row r="74">
      <x:c r="A74" s="18"/>
      <x:c r="B74" s="18"/>
      <x:c r="C74" s="18"/>
      <x:c r="D74" s="18"/>
      <x:c r="E74" s="18"/>
    </x:row>
    <x:row r="75">
      <x:c r="A75" s="18"/>
      <x:c r="B75" s="18"/>
      <x:c r="C75" s="18"/>
      <x:c r="D75" s="18"/>
      <x:c r="E75" s="18"/>
    </x:row>
    <x:row r="76">
      <x:c r="A76" s="18"/>
      <x:c r="B76" s="18"/>
      <x:c r="C76" s="18"/>
      <x:c r="D76" s="18"/>
      <x:c r="E76" s="18"/>
    </x:row>
    <x:row r="77">
      <x:c r="A77" s="18"/>
      <x:c r="B77" s="18"/>
      <x:c r="C77" s="18"/>
      <x:c r="D77" s="18"/>
      <x:c r="E77" s="18"/>
    </x:row>
    <x:row r="78">
      <x:c r="A78" s="18"/>
      <x:c r="B78" s="18"/>
      <x:c r="C78" s="18"/>
      <x:c r="D78" s="18"/>
      <x:c r="E78" s="18"/>
    </x:row>
    <x:row r="79">
      <x:c r="A79" s="18"/>
      <x:c r="B79" s="18"/>
      <x:c r="C79" s="18"/>
      <x:c r="D79" s="18"/>
      <x:c r="E79" s="18"/>
    </x:row>
    <x:row r="80">
      <x:c r="A80" s="18"/>
      <x:c r="B80" s="18"/>
      <x:c r="C80" s="18"/>
      <x:c r="D80" s="18"/>
      <x:c r="E80" s="18"/>
    </x:row>
    <x:row r="81">
      <x:c r="A81" s="18"/>
      <x:c r="B81" s="18"/>
      <x:c r="C81" s="18"/>
      <x:c r="D81" s="18"/>
      <x:c r="E81" s="18"/>
    </x:row>
    <x:row r="82">
      <x:c r="A82" s="18"/>
      <x:c r="B82" s="18"/>
      <x:c r="C82" s="18"/>
      <x:c r="D82" s="18"/>
      <x:c r="E82" s="18"/>
    </x:row>
    <x:row r="83">
      <x:c r="A83" s="18"/>
      <x:c r="B83" s="18"/>
      <x:c r="C83" s="18"/>
      <x:c r="D83" s="18"/>
      <x:c r="E83" s="18"/>
    </x:row>
    <x:row r="84">
      <x:c r="A84" s="18"/>
      <x:c r="B84" s="18"/>
      <x:c r="C84" s="18"/>
      <x:c r="D84" s="18"/>
      <x:c r="E84" s="18"/>
    </x:row>
    <x:row r="85">
      <x:c r="A85" s="18"/>
      <x:c r="B85" s="18"/>
      <x:c r="C85" s="18"/>
      <x:c r="D85" s="18"/>
      <x:c r="E85" s="18"/>
    </x:row>
    <x:row r="86">
      <x:c r="A86" s="18"/>
      <x:c r="B86" s="18"/>
      <x:c r="C86" s="18"/>
      <x:c r="D86" s="18"/>
      <x:c r="E86" s="18"/>
    </x:row>
    <x:row r="87">
      <x:c r="A87" s="18"/>
      <x:c r="B87" s="18"/>
      <x:c r="C87" s="18"/>
      <x:c r="D87" s="18"/>
      <x:c r="E87" s="18"/>
    </x:row>
    <x:row r="88">
      <x:c r="A88" s="18"/>
      <x:c r="B88" s="18"/>
      <x:c r="C88" s="18"/>
      <x:c r="D88" s="18"/>
      <x:c r="E88" s="18"/>
    </x:row>
    <x:row r="89">
      <x:c r="A89" s="18"/>
      <x:c r="B89" s="18"/>
      <x:c r="C89" s="18"/>
      <x:c r="D89" s="18"/>
      <x:c r="E89" s="18"/>
    </x:row>
    <x:row r="90">
      <x:c r="A90" s="18"/>
      <x:c r="B90" s="18"/>
      <x:c r="C90" s="18"/>
      <x:c r="D90" s="18"/>
      <x:c r="E90" s="18"/>
    </x:row>
    <x:row r="91">
      <x:c r="A91" s="18"/>
      <x:c r="B91" s="18"/>
      <x:c r="C91" s="18"/>
      <x:c r="D91" s="18"/>
      <x:c r="E91" s="18"/>
    </x:row>
    <x:row r="92">
      <x:c r="A92" s="18"/>
      <x:c r="B92" s="18"/>
      <x:c r="C92" s="18"/>
      <x:c r="D92" s="18"/>
      <x:c r="E92" s="18"/>
    </x:row>
    <x:row r="93">
      <x:c r="A93" s="18"/>
      <x:c r="B93" s="18"/>
      <x:c r="C93" s="18"/>
      <x:c r="D93" s="18"/>
      <x:c r="E93" s="18"/>
    </x:row>
    <x:row r="94">
      <x:c r="A94" s="18"/>
      <x:c r="B94" s="18"/>
      <x:c r="C94" s="18"/>
      <x:c r="D94" s="18"/>
      <x:c r="E94" s="18"/>
    </x:row>
    <x:row r="95">
      <x:c r="A95" s="18"/>
      <x:c r="B95" s="18"/>
      <x:c r="C95" s="18"/>
      <x:c r="D95" s="18"/>
      <x:c r="E95" s="18"/>
    </x:row>
    <x:row r="96">
      <x:c r="A96" s="18"/>
      <x:c r="B96" s="18"/>
      <x:c r="C96" s="18"/>
      <x:c r="D96" s="18"/>
      <x:c r="E96" s="18"/>
    </x:row>
    <x:row r="97">
      <x:c r="A97" s="18"/>
      <x:c r="B97" s="18"/>
      <x:c r="C97" s="18"/>
      <x:c r="D97" s="18"/>
      <x:c r="E97" s="18"/>
    </x:row>
    <x:row r="98">
      <x:c r="A98" s="18"/>
      <x:c r="B98" s="18"/>
      <x:c r="C98" s="18"/>
      <x:c r="D98" s="18"/>
      <x:c r="E98" s="18"/>
    </x:row>
    <x:row r="99" ht="30" customHeight="1">
      <x:c r="A99" s="19" t="str">
        <x:v>原始標籤／補查科目</x:v>
      </x:c>
      <x:c r="B99" s="19" t="str">
        <x:v>USD million</x:v>
      </x:c>
      <x:c r="C99" s="19" t="str">
        <x:v>Start</x:v>
      </x:c>
      <x:c r="D99" s="19" t="str">
        <x:v>End</x:v>
      </x:c>
      <x:c r="E99" s="19" t="str">
        <x:v>來源網址及 fact ID／定位</x:v>
      </x:c>
    </x:row>
    <x:row r="100">
      <x:c r="A100" s="18" t="str">
        <x:v>Revenues</x:v>
      </x:c>
      <x:c r="B100" s="22" t="n">
        <x:v>24121.053</x:v>
      </x:c>
      <x:c r="C100" s="18" t="str">
        <x:v>2024-01-01</x:v>
      </x:c>
      <x:c r="D100" s="18" t="str">
        <x:v>2024-12-31</x:v>
      </x:c>
      <x:c r="E100" s="18" t="str">
        <x:v>https://www.sec.gov/Archives/edgar/data/1512673/000162828025007376/0001628280-25-007376-index.html; https://www.sec.gov/Archives/edgar/data/1512673/000162828026012254/0001628280-26-012254-index.html | sec:396c63610615043e5a625a422b62e937e5c4f29e6d5378b1f5aee207cf695ef8; sec:980aafcd52b5470ff60069deedcc3233bf1103c16bed635334036847a69cca79</x:v>
      </x:c>
    </x:row>
    <x:row r="101">
      <x:c r="A101" s="18" t="str">
        <x:v>CostOfRevenue</x:v>
      </x:c>
      <x:c r="B101" s="22" t="n">
        <x:v>15232.017</x:v>
      </x:c>
      <x:c r="C101" s="18" t="str">
        <x:v>2024-01-01</x:v>
      </x:c>
      <x:c r="D101" s="18" t="str">
        <x:v>2024-12-31</x:v>
      </x:c>
      <x:c r="E101" s="18" t="str">
        <x:v>https://www.sec.gov/Archives/edgar/data/1512673/000162828025007376/0001628280-25-007376-index.html; https://www.sec.gov/Archives/edgar/data/1512673/000162828026012254/0001628280-26-012254-index.html | sec:1c661c08cbdefd0ea8870e3120adc2d061010746480d41d65e647b91314e7a5d; sec:fab9efdad12415114481e43073e326088d295648ffdc8695dfe06a237ddcaa24</x:v>
      </x:c>
    </x:row>
    <x:row r="102">
      <x:c r="A102" s="18" t="str">
        <x:v>GrossProfit</x:v>
      </x:c>
      <x:c r="B102" s="22" t="n">
        <x:v>8889.036</x:v>
      </x:c>
      <x:c r="C102" s="18" t="str">
        <x:v>2024-01-01</x:v>
      </x:c>
      <x:c r="D102" s="18" t="str">
        <x:v>2024-12-31</x:v>
      </x:c>
      <x:c r="E102" s="18" t="str">
        <x:v>https://www.sec.gov/Archives/edgar/data/1512673/000162828025007376/0001628280-25-007376-index.html; https://www.sec.gov/Archives/edgar/data/1512673/000162828026012254/0001628280-26-012254-index.html | sec:3f416680fce56d1c960f1283feadaeffa59c03a58f76b8895d3c3622481b2a4d; sec:e0997ea50daeb02679b5d5ea88e7ed3fad1db78c13f480ab8160bb47ae56ab6f</x:v>
      </x:c>
    </x:row>
    <x:row r="103">
      <x:c r="A103" s="18" t="str">
        <x:v>OperatingIncomeLoss</x:v>
      </x:c>
      <x:c r="B103" s="22" t="n">
        <x:v>892.327</x:v>
      </x:c>
      <x:c r="C103" s="18" t="str">
        <x:v>2024-01-01</x:v>
      </x:c>
      <x:c r="D103" s="18" t="str">
        <x:v>2024-12-31</x:v>
      </x:c>
      <x:c r="E103" s="18" t="str">
        <x:v>https://www.sec.gov/Archives/edgar/data/1512673/000162828025007376/0001628280-25-007376-index.html; https://www.sec.gov/Archives/edgar/data/1512673/000162828026012254/0001628280-26-012254-index.html | sec:d1ca527043ccc37ac71b81ae3dd259f17268708c6aaa9982cc2cc75c5ccaa255; sec:edeaa834ff696e8583521817492893bd28bc12bcc6788517b004c042e23233f5</x:v>
      </x:c>
    </x:row>
    <x:row r="104">
      <x:c r="A104" s="18" t="str">
        <x:v>IncomeLossFromContinuingOperationsBeforeIncomeTaxesExtraordinaryItemsNoncontrollingInterest</x:v>
      </x:c>
      <x:c r="B104" s="22" t="n">
        <x:v>1357.154</x:v>
      </x:c>
      <x:c r="C104" s="18" t="str">
        <x:v>2024-01-01</x:v>
      </x:c>
      <x:c r="D104" s="18" t="str">
        <x:v>2024-12-31</x:v>
      </x:c>
      <x:c r="E104" s="18" t="str">
        <x:v>https://www.sec.gov/Archives/edgar/data/1512673/000162828025007376/0001628280-25-007376-index.html; https://www.sec.gov/Archives/edgar/data/1512673/000162828026012254/0001628280-26-012254-index.html | sec:88b02f20775cf34e461784df496b42c30d0d6983eab4706b1e9379f39c2873b7; sec:74629c60861ab66cd506b9c93c634d3c51db28c139d786c5c70a277c3b6d3b73</x:v>
      </x:c>
    </x:row>
    <x:row r="105">
      <x:c r="A105" s="18" t="str">
        <x:v>IncomeTaxExpenseBenefit</x:v>
      </x:c>
      <x:c r="B105" s="22" t="n">
        <x:v>-1509.343</x:v>
      </x:c>
      <x:c r="C105" s="18" t="str">
        <x:v>2024-01-01</x:v>
      </x:c>
      <x:c r="D105" s="18" t="str">
        <x:v>2024-12-31</x:v>
      </x:c>
      <x:c r="E105" s="18" t="str">
        <x:v>https://www.sec.gov/Archives/edgar/data/1512673/000162828025007376/0001628280-25-007376-index.html; https://www.sec.gov/Archives/edgar/data/1512673/000162828026012254/0001628280-26-012254-index.html | sec:2e0e84ab982b2ce30684cca70161b06e954c2b291c05b8c46fecad7d733f381a; sec:1cc61a6e99a88b44030336b9d185abffa330e0d56331dbe87fa1c618834b8f21</x:v>
      </x:c>
    </x:row>
    <x:row r="106">
      <x:c r="A106" s="18" t="str">
        <x:v>NetIncomeLoss</x:v>
      </x:c>
      <x:c r="B106" s="22" t="n">
        <x:v>2897.047</x:v>
      </x:c>
      <x:c r="C106" s="18" t="str">
        <x:v>2024-01-01</x:v>
      </x:c>
      <x:c r="D106" s="18" t="str">
        <x:v>2024-12-31</x:v>
      </x:c>
      <x:c r="E106" s="18" t="str">
        <x:v>https://www.sec.gov/Archives/edgar/data/1512673/000162828025007376/0001628280-25-007376-index.html; https://www.sec.gov/Archives/edgar/data/1512673/000162828026012254/0001628280-26-012254-index.html | sec:5b887226cdc4c22186b7c733656a42f68f6e23e61238696fef26997f7faba0ff; sec:d1aede7f3c816bcb7599406f5981339dfd3747e16190e76a8a679ee9e06be6e2</x:v>
      </x:c>
    </x:row>
    <x:row r="107">
      <x:c r="A107" s="18" t="str">
        <x:v>NetCashProvidedByUsedInOperatingActivities</x:v>
      </x:c>
      <x:c r="B107" s="22" t="n">
        <x:v>1707.35</x:v>
      </x:c>
      <x:c r="C107" s="18" t="str">
        <x:v>2024-01-01</x:v>
      </x:c>
      <x:c r="D107" s="18" t="str">
        <x:v>2024-12-31</x:v>
      </x:c>
      <x:c r="E107" s="18" t="str">
        <x:v>https://www.sec.gov/Archives/edgar/data/1512673/000162828025007376/0001628280-25-007376-index.html; https://www.sec.gov/Archives/edgar/data/1512673/000162828026012254/0001628280-26-012254-index.html | sec:91c807046a6f11f7daab180132e96fd40d6cbd853e5f86da9c50f67a8f403ea1; sec:c2e93cc612927876a354753279b9cc899e6420769e3c1bbc223506cfca85475f</x:v>
      </x:c>
    </x:row>
    <x:row r="108">
      <x:c r="A108" s="18" t="str">
        <x:v>AssetsCurrent</x:v>
      </x:c>
      <x:c r="B108" s="22" t="n">
        <x:v>19880.201</x:v>
      </x:c>
      <x:c r="C108" s="18" t="str">
        <x:v>instant</x:v>
      </x:c>
      <x:c r="D108" s="18" t="str">
        <x:v>2024-12-31</x:v>
      </x:c>
      <x:c r="E108" s="18" t="str">
        <x:v>https://www.sec.gov/Archives/edgar/data/1512673/000162828025007376/0001628280-25-007376-index.html; https://www.sec.gov/Archives/edgar/data/1512673/000162828025021538/0001628280-25-021538-index.html; https://www.sec.gov/Archives/edgar/data/1512673/000162828025038920/0001628280-25-038920-index.html; https://www.sec.gov/Archives/edgar/data/1512673/000162828025050234/0001628280-25-050234-index.html; https://www.sec.gov/Archives/edgar/data/1512673/000162828026012254/0001628280-26-012254-index.html | sec:69dcb1806b720a77d554c1924b500ac01b761583ca66bcfc03ec08f9396012d6; sec:3a971364074eb93a74a77f9726df40bc785156760578f001dbbb46769098be83; sec:40e7e991707c0b8f2fd9fc0bb2ca99832f71d3f6feb67443f79f917b8dcceefe; sec:6cad81abe30b6caf5d4b45708c05bb4559d42af05b4966e574efd4f45c3d1b32; sec:a80d62920183b307209b5ce14b00fb698a38daf76f5c09d84ea77f2de1f0bc21</x:v>
      </x:c>
    </x:row>
    <x:row r="109">
      <x:c r="A109" s="18" t="str">
        <x:v>LiabilitiesCurrent</x:v>
      </x:c>
      <x:c r="B109" s="22" t="n">
        <x:v>8546.798</x:v>
      </x:c>
      <x:c r="C109" s="18" t="str">
        <x:v>instant</x:v>
      </x:c>
      <x:c r="D109" s="18" t="str">
        <x:v>2024-12-31</x:v>
      </x:c>
      <x:c r="E109" s="18" t="str">
        <x:v>https://www.sec.gov/Archives/edgar/data/1512673/000162828025007376/0001628280-25-007376-index.html; https://www.sec.gov/Archives/edgar/data/1512673/000162828025021538/0001628280-25-021538-index.html; https://www.sec.gov/Archives/edgar/data/1512673/000162828025038920/0001628280-25-038920-index.html; https://www.sec.gov/Archives/edgar/data/1512673/000162828025050234/0001628280-25-050234-index.html; https://www.sec.gov/Archives/edgar/data/1512673/000162828026012254/0001628280-26-012254-index.html | sec:fde2c1634ff1e603ca47b041c445431f5d61f1cead93d579b0e8ea72f5443940; sec:757317d25f5a1e049d83ef42a7bd1cbbb8998da53accb19a6461333b89351023; sec:63673f15cb8552804cfb82742e36ba2bec800399063c5e152f5139b8faa338df; sec:22530418a5be1f33a12967ace8fe723d069a9f5d5b42756076179ea74024fd3a; sec:221de7eb3a5238b6b43cad90cf656396e96fd16dd65af95d6b3a78586983a6bf</x:v>
      </x:c>
    </x:row>
    <x:row r="110">
      <x:c r="A110" s="18" t="str">
        <x:v>Assets</x:v>
      </x:c>
      <x:c r="B110" s="22" t="n">
        <x:v>36777.595</x:v>
      </x:c>
      <x:c r="C110" s="18" t="str">
        <x:v>instant</x:v>
      </x:c>
      <x:c r="D110" s="18" t="str">
        <x:v>2024-12-31</x:v>
      </x:c>
      <x:c r="E110" s="18" t="str">
        <x:v>https://www.sec.gov/Archives/edgar/data/1512673/000162828025007376/0001628280-25-007376-index.html; https://www.sec.gov/Archives/edgar/data/1512673/000162828025021538/0001628280-25-021538-index.html; https://www.sec.gov/Archives/edgar/data/1512673/000162828025038920/0001628280-25-038920-index.html; https://www.sec.gov/Archives/edgar/data/1512673/000162828025050234/0001628280-25-050234-index.html; https://www.sec.gov/Archives/edgar/data/1512673/000162828026012254/0001628280-26-012254-index.html | sec:3a30361fabd742531dfa310e6f54b80259ac17bca8b8cfc3b3d18430d386a844; sec:dc08577b394cf6415865591aac0849dc6f7e567570d9fcd8c78a82393623f982; sec:22df7dfffff6c28554d5504a9315455fe342c0d31ad356f29d60ff86b5975eeb; sec:addf6e329cd0b933e1ea56da1b8cdf774d1928bd16f53cb72349aea6008e36fa; sec:4ac20b67e63345be20b68a81107fbfa28efce8f66a64c68d67149578cfa3da66</x:v>
      </x:c>
    </x:row>
    <x:row r="111">
      <x:c r="A111" s="18" t="str">
        <x:v>Liabilities</x:v>
      </x:c>
      <x:c r="B111" s="22" t="n">
        <x:v>15542.633</x:v>
      </x:c>
      <x:c r="C111" s="18" t="str">
        <x:v>instant</x:v>
      </x:c>
      <x:c r="D111" s="18" t="str">
        <x:v>2024-12-31</x:v>
      </x:c>
      <x:c r="E111" s="18" t="str">
        <x:v>https://www.sec.gov/Archives/edgar/data/1512673/000162828025007376/0001628280-25-007376-index.html; https://www.sec.gov/Archives/edgar/data/1512673/000162828025021538/0001628280-25-021538-index.html; https://www.sec.gov/Archives/edgar/data/1512673/000162828025038920/0001628280-25-038920-index.html; https://www.sec.gov/Archives/edgar/data/1512673/000162828025050234/0001628280-25-050234-index.html; https://www.sec.gov/Archives/edgar/data/1512673/000162828026012254/0001628280-26-012254-index.html | sec:412d4d072fd81256d6e4604310f1614df78fc76b301cde3d664276a09776b918; sec:3bcab0a9a2f98656f487471384f2c1258cf475be42ed110710ecdcdb32829c34; sec:f29e7b17a186c1a0bd6f84172df9416bf62b96a36fcd4c9ddfbe43613d199802; sec:5410ab53393095542ae7d2ff0f4a76b7a7c657928db73b4f4f0e4ca5d0aa6217; sec:cc7bbf0f079a74b10157355780abc1ca2ffd98be8c71def36de48c5a931dcff0</x:v>
      </x:c>
    </x:row>
    <x:row r="112">
      <x:c r="A112" s="18" t="str">
        <x:v>CashAndCashEquivalentsAtCarryingValue</x:v>
      </x:c>
      <x:c r="B112" s="22" t="n">
        <x:v>8075.247</x:v>
      </x:c>
      <x:c r="C112" s="18" t="str">
        <x:v>instant</x:v>
      </x:c>
      <x:c r="D112" s="18" t="str">
        <x:v>2024-12-31</x:v>
      </x:c>
      <x:c r="E112" s="18" t="str">
        <x:v>https://www.sec.gov/Archives/edgar/data/1512673/000162828025007376/0001628280-25-007376-index.html; https://www.sec.gov/Archives/edgar/data/1512673/000162828025021538/0001628280-25-021538-index.html; https://www.sec.gov/Archives/edgar/data/1512673/000162828025038920/0001628280-25-038920-index.html; https://www.sec.gov/Archives/edgar/data/1512673/000162828025050234/0001628280-25-050234-index.html; https://www.sec.gov/Archives/edgar/data/1512673/000162828026012254/0001628280-26-012254-index.html | sec:a071eb25e58a1aed61651f1c3d1c000984bff6389f039347086edcb9f712fab4; sec:10577396ed2923665345f0bef7a53eac30d2191c397e74ce4f574dad97f4b2a6; sec:030669c7f114edb0168424411f6114b718ff8cce0638ab918d1d204076ccd100; sec:009cc95dba7f1e87ad32cec057874c15ad4b586eab3299a3f5f9c0742a096683; sec:788b441c720fee4e1e21c7868110d7569065dc123066d2b4aaad412c8fd24f45</x:v>
      </x:c>
    </x:row>
    <x:row r="113">
      <x:c r="A113" s="18" t="str">
        <x:v>notes_principal</x:v>
      </x:c>
      <x:c r="B113" s="22" t="n">
        <x:v>6150</x:v>
      </x:c>
      <x:c r="C113" s="18" t="str">
        <x:v>instant</x:v>
      </x:c>
      <x:c r="D113" s="18" t="str">
        <x:v>2024-12-31</x:v>
      </x:c>
      <x:c r="E113" s="18" t="str">
        <x:v>https://www.sec.gov/Archives/edgar/data/1512673/000162828025007376/sq-20241231.htm | SEC companyfacts us-gaap:DebtInstrumentCarryingAmount</x:v>
      </x:c>
    </x:row>
    <x:row r="114">
      <x:c r="A114" s="18" t="str">
        <x:v>warehouse_principal</x:v>
      </x:c>
      <x:c r="B114" s="22" t="n">
        <x:v>1481.68</x:v>
      </x:c>
      <x:c r="C114" s="18" t="str">
        <x:v>instant</x:v>
      </x:c>
      <x:c r="D114" s="18" t="str">
        <x:v>2024-12-31</x:v>
      </x:c>
      <x:c r="E114" s="18" t="str">
        <x:v>https://www.sec.gov/Archives/edgar/data/1512673/000162828025007376/sq-20241231.htm | Indebtedness note, Warehouse Funding Facilities, complete principal maturity schedule total (in thousands)</x:v>
      </x:c>
    </x:row>
    <x:row r="115">
      <x:c r="A115" s="18" t="str">
        <x:v>consolidated_equity</x:v>
      </x:c>
      <x:c r="B115" s="22" t="n">
        <x:v>21234.962</x:v>
      </x:c>
      <x:c r="C115" s="18" t="str">
        <x:v>instant</x:v>
      </x:c>
      <x:c r="D115" s="18" t="str">
        <x:v>2024-12-31</x:v>
      </x:c>
      <x:c r="E115" s="18" t="str">
        <x:v>https://www.sec.gov/Archives/edgar/data/1512673/000162828025007376/sq-20241231.htm | SEC companyfacts us-gaap:StockholdersEquityIncludingPortionAttributableToNoncontrollingInterest</x:v>
      </x:c>
    </x:row>
    <x:row r="116">
      <x:c r="A116" s="18" t="str">
        <x:v>net_interest_signed</x:v>
      </x:c>
      <x:c r="B116" s="22" t="n">
        <x:v>-9.302</x:v>
      </x:c>
      <x:c r="C116" s="18" t="str">
        <x:v>2024-01-01</x:v>
      </x:c>
      <x:c r="D116" s="18" t="str">
        <x:v>2024-12-31</x:v>
      </x:c>
      <x:c r="E116" s="18" t="str">
        <x:v>https://www.sec.gov/Archives/edgar/data/1512673/000162828025007376/sq-20241231.htm | SEC companyfacts us-gaap:InterestIncomeExpenseNonoperatingNet</x:v>
      </x:c>
    </x:row>
    <x:row r="117">
      <x:c r="A117" s="18" t="str">
        <x:v>Revenues</x:v>
      </x:c>
      <x:c r="B117" s="22" t="n">
        <x:v>11826.253</x:v>
      </x:c>
      <x:c r="C117" s="18" t="str">
        <x:v>2025-01-01</x:v>
      </x:c>
      <x:c r="D117" s="18" t="str">
        <x:v>2025-06-30</x:v>
      </x:c>
      <x:c r="E117" s="18" t="str">
        <x:v>https://www.sec.gov/Archives/edgar/data/1512673/000162828025038920/0001628280-25-038920-index.html; https://www.sec.gov/Archives/edgar/data/1512673/000162828026053368/0001628280-26-053368-index.html | sec:abce814303b78d6c865ce22660287eb5a6b19b755f34cb101bedd74a7d41e067; sec:163b297fda9f917ea99e6e64ea9cace79e08530c80f637101f556f8b83a96b5b</x:v>
      </x:c>
    </x:row>
    <x:row r="118">
      <x:c r="A118" s="18" t="str">
        <x:v>CostOfRevenue</x:v>
      </x:c>
      <x:c r="B118" s="22" t="n">
        <x:v>7000.12</x:v>
      </x:c>
      <x:c r="C118" s="18" t="str">
        <x:v>2025-01-01</x:v>
      </x:c>
      <x:c r="D118" s="18" t="str">
        <x:v>2025-06-30</x:v>
      </x:c>
      <x:c r="E118" s="18" t="str">
        <x:v>https://www.sec.gov/Archives/edgar/data/1512673/000162828025038920/0001628280-25-038920-index.html; https://www.sec.gov/Archives/edgar/data/1512673/000162828026053368/0001628280-26-053368-index.html | sec:319c485aee953b9ad1d0ea64142cd301438a2bd23d3397b015aa1d59147e3d93; sec:ee0c9688cc2d92136b4fbf9acc4e72406b1d9d79da4e5cf7b34f81d38caaa1e9</x:v>
      </x:c>
    </x:row>
    <x:row r="119">
      <x:c r="A119" s="18" t="str">
        <x:v>GrossProfit</x:v>
      </x:c>
      <x:c r="B119" s="22" t="n">
        <x:v>4826.133</x:v>
      </x:c>
      <x:c r="C119" s="18" t="str">
        <x:v>2025-01-01</x:v>
      </x:c>
      <x:c r="D119" s="18" t="str">
        <x:v>2025-06-30</x:v>
      </x:c>
      <x:c r="E119" s="18" t="str">
        <x:v>https://www.sec.gov/Archives/edgar/data/1512673/000162828025038920/0001628280-25-038920-index.html; https://www.sec.gov/Archives/edgar/data/1512673/000162828026053368/0001628280-26-053368-index.html | sec:8eaab3feef67a2c2315b54660eb0307b0d1a9ffff2856115fb0e43931cd705a5; sec:4a70ba9d688462ed567f189c2d8a6fe728aea9d3e82d7093d54999083ba84acd</x:v>
      </x:c>
    </x:row>
    <x:row r="120">
      <x:c r="A120" s="18" t="str">
        <x:v>OperatingIncomeLoss</x:v>
      </x:c>
      <x:c r="B120" s="22" t="n">
        <x:v>813.595</x:v>
      </x:c>
      <x:c r="C120" s="18" t="str">
        <x:v>2025-01-01</x:v>
      </x:c>
      <x:c r="D120" s="18" t="str">
        <x:v>2025-06-30</x:v>
      </x:c>
      <x:c r="E120" s="18" t="str">
        <x:v>https://www.sec.gov/Archives/edgar/data/1512673/000162828025038920/0001628280-25-038920-index.html; https://www.sec.gov/Archives/edgar/data/1512673/000162828026053368/0001628280-26-053368-index.html | sec:1bf573376996bf53f88a236239baf97bb14c87a0eb3f31116f3d89af4ea39db9; sec:869efd79531f1dd332f9a3e5f53bd9f41aff2a01e1d9e419b810b1d46975e8e0</x:v>
      </x:c>
    </x:row>
    <x:row r="121">
      <x:c r="A121" s="18" t="str">
        <x:v>IncomeLossFromContinuingOperationsBeforeIncomeTaxesExtraordinaryItemsNoncontrollingInterest</x:v>
      </x:c>
      <x:c r="B121" s="22" t="n">
        <x:v>886.432</x:v>
      </x:c>
      <x:c r="C121" s="18" t="str">
        <x:v>2025-01-01</x:v>
      </x:c>
      <x:c r="D121" s="18" t="str">
        <x:v>2025-06-30</x:v>
      </x:c>
      <x:c r="E121" s="18" t="str">
        <x:v>https://www.sec.gov/Archives/edgar/data/1512673/000162828025038920/0001628280-25-038920-index.html; https://www.sec.gov/Archives/edgar/data/1512673/000162828026053368/0001628280-26-053368-index.html | sec:05989073494efd8a5fd15ac19fce6fd0f4c7bab7486339f69a85824854604f69; sec:95e3030a0561d81db17c70d96093b17ff50ee088c33f148833b4e666cd800fa6</x:v>
      </x:c>
    </x:row>
    <x:row r="122">
      <x:c r="A122" s="18" t="str">
        <x:v>IncomeTaxExpenseBenefit</x:v>
      </x:c>
      <x:c r="B122" s="22" t="n">
        <x:v>159.376</x:v>
      </x:c>
      <x:c r="C122" s="18" t="str">
        <x:v>2025-01-01</x:v>
      </x:c>
      <x:c r="D122" s="18" t="str">
        <x:v>2025-06-30</x:v>
      </x:c>
      <x:c r="E122" s="18" t="str">
        <x:v>https://www.sec.gov/Archives/edgar/data/1512673/000162828025038920/0001628280-25-038920-index.html; https://www.sec.gov/Archives/edgar/data/1512673/000162828026053368/0001628280-26-053368-index.html | sec:3acf4a8edffedbae6be954d76a40dbee935bd12e0d768aec744a5a8dae846490; sec:3cc8604a3ddb05bdc1906b29ba21a8fd727569b074d1620d76a1788330214c70</x:v>
      </x:c>
    </x:row>
    <x:row r="123">
      <x:c r="A123" s="18" t="str">
        <x:v>NetIncomeLoss</x:v>
      </x:c>
      <x:c r="B123" s="22" t="n">
        <x:v>728.33</x:v>
      </x:c>
      <x:c r="C123" s="18" t="str">
        <x:v>2025-01-01</x:v>
      </x:c>
      <x:c r="D123" s="18" t="str">
        <x:v>2025-06-30</x:v>
      </x:c>
      <x:c r="E123" s="18" t="str">
        <x:v>https://www.sec.gov/Archives/edgar/data/1512673/000162828025038920/0001628280-25-038920-index.html; https://www.sec.gov/Archives/edgar/data/1512673/000162828026053368/0001628280-26-053368-index.html | sec:9a812d973cba222e1ed193e0ddbf2b68d3d0ab564492d0fb56e3203418c7d506; sec:b31ab50b56fb0dd08676fe6385c2e3f4780ae322df4554185525a9ab094ab847</x:v>
      </x:c>
    </x:row>
    <x:row r="124">
      <x:c r="A124" s="18" t="str">
        <x:v>NetCashProvidedByUsedInOperatingActivities</x:v>
      </x:c>
      <x:c r="B124" s="22" t="n">
        <x:v>507.658</x:v>
      </x:c>
      <x:c r="C124" s="18" t="str">
        <x:v>2025-01-01</x:v>
      </x:c>
      <x:c r="D124" s="18" t="str">
        <x:v>2025-06-30</x:v>
      </x:c>
      <x:c r="E124" s="18" t="str">
        <x:v>https://www.sec.gov/Archives/edgar/data/1512673/000162828025038920/0001628280-25-038920-index.html; https://www.sec.gov/Archives/edgar/data/1512673/000162828026053368/0001628280-26-053368-index.html | sec:4191075ca6b6cbb48b55ca5f891cc256858a07668ac59fb07c4988a75fe8f09d; sec:88fc4a68199a813e6af322de54422209ce0f279671934635bf1f6b7d376281cc</x:v>
      </x:c>
    </x:row>
    <x:row r="125">
      <x:c r="A125" s="18" t="str">
        <x:v>AssetsCurrent</x:v>
      </x:c>
      <x:c r="B125" s="22" t="n">
        <x:v>19707.662</x:v>
      </x:c>
      <x:c r="C125" s="18" t="str">
        <x:v>instant</x:v>
      </x:c>
      <x:c r="D125" s="18" t="str">
        <x:v>2025-06-30</x:v>
      </x:c>
      <x:c r="E125" s="18" t="str">
        <x:v>https://www.sec.gov/Archives/edgar/data/1512673/000162828025038920/0001628280-25-038920-index.html | sec:35cfa8a3c5f7a457b700d08de523117a67c0cfd1ec73920cad996d18ef3e0531</x:v>
      </x:c>
    </x:row>
    <x:row r="126">
      <x:c r="A126" s="18" t="str">
        <x:v>LiabilitiesCurrent</x:v>
      </x:c>
      <x:c r="B126" s="22" t="n">
        <x:v>10071.314</x:v>
      </x:c>
      <x:c r="C126" s="18" t="str">
        <x:v>instant</x:v>
      </x:c>
      <x:c r="D126" s="18" t="str">
        <x:v>2025-06-30</x:v>
      </x:c>
      <x:c r="E126" s="18" t="str">
        <x:v>https://www.sec.gov/Archives/edgar/data/1512673/000162828025038920/0001628280-25-038920-index.html | sec:19d70e8c485e90259cf1f6d758a08d1618bc4903b13a3470ad5a4b98932bda01</x:v>
      </x:c>
    </x:row>
    <x:row r="127">
      <x:c r="A127" s="18" t="str">
        <x:v>Assets</x:v>
      </x:c>
      <x:c r="B127" s="22" t="n">
        <x:v>36858.391</x:v>
      </x:c>
      <x:c r="C127" s="18" t="str">
        <x:v>instant</x:v>
      </x:c>
      <x:c r="D127" s="18" t="str">
        <x:v>2025-06-30</x:v>
      </x:c>
      <x:c r="E127" s="18" t="str">
        <x:v>https://www.sec.gov/Archives/edgar/data/1512673/000162828025038920/0001628280-25-038920-index.html | sec:e74b436577ec819718149fbf600b7ab4d36779d3ae1221e3258c314078995d8e</x:v>
      </x:c>
    </x:row>
    <x:row r="128">
      <x:c r="A128" s="18" t="str">
        <x:v>Liabilities</x:v>
      </x:c>
      <x:c r="B128" s="22" t="n">
        <x:v>14735.499</x:v>
      </x:c>
      <x:c r="C128" s="18" t="str">
        <x:v>instant</x:v>
      </x:c>
      <x:c r="D128" s="18" t="str">
        <x:v>2025-06-30</x:v>
      </x:c>
      <x:c r="E128" s="18" t="str">
        <x:v>https://www.sec.gov/Archives/edgar/data/1512673/000162828025038920/0001628280-25-038920-index.html | sec:08e9983138acd610b6baa2cf4fa054b146f81f50aeaa41c60d5c9268eb6bb5cf</x:v>
      </x:c>
    </x:row>
    <x:row r="129">
      <x:c r="A129" s="18" t="str">
        <x:v>CashAndCashEquivalentsAtCarryingValue</x:v>
      </x:c>
      <x:c r="B129" s="22" t="n">
        <x:v>6384.224</x:v>
      </x:c>
      <x:c r="C129" s="18" t="str">
        <x:v>instant</x:v>
      </x:c>
      <x:c r="D129" s="18" t="str">
        <x:v>2025-06-30</x:v>
      </x:c>
      <x:c r="E129" s="18" t="str">
        <x:v>https://www.sec.gov/Archives/edgar/data/1512673/000162828025038920/0001628280-25-038920-index.html; https://www.sec.gov/Archives/edgar/data/1512673/000162828026053368/0001628280-26-053368-index.html | sec:1d711468c8f82c7535b406b344b9a3fd9508abcb18db57d911cdd18c343f064b; sec:0200031df1e8db046140dc5d2e31543c24a328e4f2d41f35a9c77242fe32d2bf</x:v>
      </x:c>
    </x:row>
    <x:row r="130">
      <x:c r="A130" s="18" t="str">
        <x:v>notes_principal</x:v>
      </x:c>
      <x:c r="B130" s="22" t="n">
        <x:v>5150</x:v>
      </x:c>
      <x:c r="C130" s="18" t="str">
        <x:v>instant</x:v>
      </x:c>
      <x:c r="D130" s="18" t="str">
        <x:v>2025-06-30</x:v>
      </x:c>
      <x:c r="E130" s="18" t="str">
        <x:v>https://www.sec.gov/Archives/edgar/data/1512673/000162828025038920/sq-20250630.htm | SEC companyfacts us-gaap:DebtInstrumentCarryingAmount</x:v>
      </x:c>
    </x:row>
    <x:row r="131">
      <x:c r="A131" s="18" t="str">
        <x:v>warehouse_principal</x:v>
      </x:c>
      <x:c r="B131" s="22" t="n">
        <x:v>703.924</x:v>
      </x:c>
      <x:c r="C131" s="18" t="str">
        <x:v>instant</x:v>
      </x:c>
      <x:c r="D131" s="18" t="str">
        <x:v>2025-06-30</x:v>
      </x:c>
      <x:c r="E131" s="18" t="str">
        <x:v>https://www.sec.gov/Archives/edgar/data/1512673/000162828025038920/sq-20250630.htm | Indebtedness note, Warehouse Funding Facilities, complete principal maturity schedule total (in thousands)</x:v>
      </x:c>
    </x:row>
    <x:row r="132">
      <x:c r="A132" s="18" t="str">
        <x:v>consolidated_equity</x:v>
      </x:c>
      <x:c r="B132" s="22" t="n">
        <x:v>22122.892</x:v>
      </x:c>
      <x:c r="C132" s="18" t="str">
        <x:v>instant</x:v>
      </x:c>
      <x:c r="D132" s="18" t="str">
        <x:v>2025-06-30</x:v>
      </x:c>
      <x:c r="E132" s="18" t="str">
        <x:v>https://www.sec.gov/Archives/edgar/data/1512673/000162828025038920/sq-20250630.htm | SEC companyfacts us-gaap:StockholdersEquityIncludingPortionAttributableToNoncontrollingInterest</x:v>
      </x:c>
    </x:row>
    <x:row r="133">
      <x:c r="A133" s="18" t="str">
        <x:v>net_interest_signed</x:v>
      </x:c>
      <x:c r="B133" s="22" t="n">
        <x:v>-40.93</x:v>
      </x:c>
      <x:c r="C133" s="18" t="str">
        <x:v>2025-01-01</x:v>
      </x:c>
      <x:c r="D133" s="18" t="str">
        <x:v>2025-06-30</x:v>
      </x:c>
      <x:c r="E133" s="18" t="str">
        <x:v>https://www.sec.gov/Archives/edgar/data/1512673/000162828025038920/sq-20250630.htm | SEC companyfacts us-gaap:InterestIncomeExpenseNonoperatingNet</x:v>
      </x:c>
    </x:row>
    <x:row r="134">
      <x:c r="A134" s="18" t="str">
        <x:v>Revenues</x:v>
      </x:c>
      <x:c r="B134" s="22" t="n">
        <x:v>24193.683</x:v>
      </x:c>
      <x:c r="C134" s="18" t="str">
        <x:v>2025-01-01</x:v>
      </x:c>
      <x:c r="D134" s="18" t="str">
        <x:v>2025-12-31</x:v>
      </x:c>
      <x:c r="E134" s="18" t="str">
        <x:v>https://www.sec.gov/Archives/edgar/data/1512673/000162828026012254/0001628280-26-012254-index.html | sec:d0dcc89676c4b556c5ec96f130522592b25b866a26d3da6292eccd9e5f74b517</x:v>
      </x:c>
    </x:row>
    <x:row r="135">
      <x:c r="A135" s="18" t="str">
        <x:v>CostOfRevenue</x:v>
      </x:c>
      <x:c r="B135" s="22" t="n">
        <x:v>13833.754</x:v>
      </x:c>
      <x:c r="C135" s="18" t="str">
        <x:v>2025-01-01</x:v>
      </x:c>
      <x:c r="D135" s="18" t="str">
        <x:v>2025-12-31</x:v>
      </x:c>
      <x:c r="E135" s="18" t="str">
        <x:v>https://www.sec.gov/Archives/edgar/data/1512673/000162828026012254/0001628280-26-012254-index.html | sec:3a41dbed71261f2ada9802be8dda04097cb3266dacab47861bc6cecc562f3b42</x:v>
      </x:c>
    </x:row>
    <x:row r="136">
      <x:c r="A136" s="18" t="str">
        <x:v>GrossProfit</x:v>
      </x:c>
      <x:c r="B136" s="22" t="n">
        <x:v>10359.929</x:v>
      </x:c>
      <x:c r="C136" s="18" t="str">
        <x:v>2025-01-01</x:v>
      </x:c>
      <x:c r="D136" s="18" t="str">
        <x:v>2025-12-31</x:v>
      </x:c>
      <x:c r="E136" s="18" t="str">
        <x:v>https://www.sec.gov/Archives/edgar/data/1512673/000162828026012254/0001628280-26-012254-index.html | sec:4ed2d3e90ecf9d5ba51f5e4c87ba58dbe3d24c46d087d3b2656cba4a5a10b586</x:v>
      </x:c>
    </x:row>
    <x:row r="137">
      <x:c r="A137" s="18" t="str">
        <x:v>OperatingIncomeLoss</x:v>
      </x:c>
      <x:c r="B137" s="22" t="n">
        <x:v>1708.406</x:v>
      </x:c>
      <x:c r="C137" s="18" t="str">
        <x:v>2025-01-01</x:v>
      </x:c>
      <x:c r="D137" s="18" t="str">
        <x:v>2025-12-31</x:v>
      </x:c>
      <x:c r="E137" s="18" t="str">
        <x:v>https://www.sec.gov/Archives/edgar/data/1512673/000162828026012254/0001628280-26-012254-index.html | sec:54c041a3d31134f739c69797c9aa90417fe7996dd029277e9aa712d7ce9f4cab</x:v>
      </x:c>
    </x:row>
    <x:row r="138">
      <x:c r="A138" s="18" t="str">
        <x:v>IncomeLossFromContinuingOperationsBeforeIncomeTaxesExtraordinaryItemsNoncontrollingInterest</x:v>
      </x:c>
      <x:c r="B138" s="22" t="n">
        <x:v>1689.911</x:v>
      </x:c>
      <x:c r="C138" s="18" t="str">
        <x:v>2025-01-01</x:v>
      </x:c>
      <x:c r="D138" s="18" t="str">
        <x:v>2025-12-31</x:v>
      </x:c>
      <x:c r="E138" s="18" t="str">
        <x:v>https://www.sec.gov/Archives/edgar/data/1512673/000162828026012254/0001628280-26-012254-index.html | sec:bb7689b8f7513880c905588df203c5f1863fe4022031b824506bcac441a3f0c8</x:v>
      </x:c>
    </x:row>
    <x:row r="139">
      <x:c r="A139" s="18" t="str">
        <x:v>IncomeTaxExpenseBenefit</x:v>
      </x:c>
      <x:c r="B139" s="22" t="n">
        <x:v>385.701</x:v>
      </x:c>
      <x:c r="C139" s="18" t="str">
        <x:v>2025-01-01</x:v>
      </x:c>
      <x:c r="D139" s="18" t="str">
        <x:v>2025-12-31</x:v>
      </x:c>
      <x:c r="E139" s="18" t="str">
        <x:v>https://www.sec.gov/Archives/edgar/data/1512673/000162828026012254/0001628280-26-012254-index.html | sec:7251788a64f559b5c9243c276d6a8e478add134ebcf4a3df8f80cee6ffd856d1</x:v>
      </x:c>
    </x:row>
    <x:row r="140">
      <x:c r="A140" s="18" t="str">
        <x:v>NetIncomeLoss</x:v>
      </x:c>
      <x:c r="B140" s="22" t="n">
        <x:v>1305.636</x:v>
      </x:c>
      <x:c r="C140" s="18" t="str">
        <x:v>2025-01-01</x:v>
      </x:c>
      <x:c r="D140" s="18" t="str">
        <x:v>2025-12-31</x:v>
      </x:c>
      <x:c r="E140" s="18" t="str">
        <x:v>https://www.sec.gov/Archives/edgar/data/1512673/000162828026012254/0001628280-26-012254-index.html | sec:1727c8bf83324c61eaff8b96b616a56458991666373aceb08197e593ee2f6c00</x:v>
      </x:c>
    </x:row>
    <x:row r="141">
      <x:c r="A141" s="18" t="str">
        <x:v>NetCashProvidedByUsedInOperatingActivities</x:v>
      </x:c>
      <x:c r="B141" s="22" t="n">
        <x:v>2579.714</x:v>
      </x:c>
      <x:c r="C141" s="18" t="str">
        <x:v>2025-01-01</x:v>
      </x:c>
      <x:c r="D141" s="18" t="str">
        <x:v>2025-12-31</x:v>
      </x:c>
      <x:c r="E141" s="18" t="str">
        <x:v>https://www.sec.gov/Archives/edgar/data/1512673/000162828026012254/0001628280-26-012254-index.html | sec:c040338813b4013874de516429d5fe68adf8ea3e12f52ed07a432c320923d293</x:v>
      </x:c>
    </x:row>
    <x:row r="142">
      <x:c r="A142" s="18" t="str">
        <x:v>AssetsCurrent</x:v>
      </x:c>
      <x:c r="B142" s="22" t="n">
        <x:v>22856.88</x:v>
      </x:c>
      <x:c r="C142" s="18" t="str">
        <x:v>instant</x:v>
      </x:c>
      <x:c r="D142" s="18" t="str">
        <x:v>2025-12-31</x:v>
      </x:c>
      <x:c r="E142" s="18" t="str">
        <x:v>https://www.sec.gov/Archives/edgar/data/1512673/000162828026012254/0001628280-26-012254-index.html; https://www.sec.gov/Archives/edgar/data/1512673/000162828026032200/0001628280-26-032200-index.html; https://www.sec.gov/Archives/edgar/data/1512673/000162828026053368/0001628280-26-053368-index.html | sec:76a6a5bdfbbe01491f9a3bd93b9bb494b1ecd23b3beb81878487ba8a1da829cb; sec:3ed6cf6ccb6548079742112d75778a51f46152c7500a0488eadebfa9d13706b4; sec:22de7579b0df890c398e79e487a27201f3c2c4c33c84f2f24de5c1048dcdcd2c</x:v>
      </x:c>
    </x:row>
    <x:row r="143">
      <x:c r="A143" s="18" t="str">
        <x:v>LiabilitiesCurrent</x:v>
      </x:c>
      <x:c r="B143" s="22" t="n">
        <x:v>10384.46</x:v>
      </x:c>
      <x:c r="C143" s="18" t="str">
        <x:v>instant</x:v>
      </x:c>
      <x:c r="D143" s="18" t="str">
        <x:v>2025-12-31</x:v>
      </x:c>
      <x:c r="E143" s="18" t="str">
        <x:v>https://www.sec.gov/Archives/edgar/data/1512673/000162828026012254/0001628280-26-012254-index.html; https://www.sec.gov/Archives/edgar/data/1512673/000162828026032200/0001628280-26-032200-index.html; https://www.sec.gov/Archives/edgar/data/1512673/000162828026053368/0001628280-26-053368-index.html | sec:55c0d14ff76b1cc4fc5d1aa675b6c67545f3226dd257ff5bbcb33f1666e0ecca; sec:d7451f9cf2699377b19d577eed51968c3bd765eb1b605e2613dcfc11dce7ba0a; sec:f8f426e481a2e5629e5ea5a4928e0c4806614708b13c5c2c8e24ea7ed4e7ca33</x:v>
      </x:c>
    </x:row>
    <x:row r="144">
      <x:c r="A144" s="18" t="str">
        <x:v>Assets</x:v>
      </x:c>
      <x:c r="B144" s="22" t="n">
        <x:v>39549.887</x:v>
      </x:c>
      <x:c r="C144" s="18" t="str">
        <x:v>instant</x:v>
      </x:c>
      <x:c r="D144" s="18" t="str">
        <x:v>2025-12-31</x:v>
      </x:c>
      <x:c r="E144" s="18" t="str">
        <x:v>https://www.sec.gov/Archives/edgar/data/1512673/000162828026012254/0001628280-26-012254-index.html; https://www.sec.gov/Archives/edgar/data/1512673/000162828026032200/0001628280-26-032200-index.html; https://www.sec.gov/Archives/edgar/data/1512673/000162828026053368/0001628280-26-053368-index.html | sec:26641b95f80b1705e8ef88cf184d3ae25ee7c416f897e5add1aafb00dba59157; sec:730e14308477061b349fc1148cfabeec450b94738cd614cf9c928030a2aab930; sec:21b70b437ac92e8e0aa049820ab549719dad598a3e0a67efe149242dae300763</x:v>
      </x:c>
    </x:row>
    <x:row r="145">
      <x:c r="A145" s="18" t="str">
        <x:v>Liabilities</x:v>
      </x:c>
      <x:c r="B145" s="22" t="n">
        <x:v>17380.005</x:v>
      </x:c>
      <x:c r="C145" s="18" t="str">
        <x:v>instant</x:v>
      </x:c>
      <x:c r="D145" s="18" t="str">
        <x:v>2025-12-31</x:v>
      </x:c>
      <x:c r="E145" s="18" t="str">
        <x:v>https://www.sec.gov/Archives/edgar/data/1512673/000162828026012254/0001628280-26-012254-index.html; https://www.sec.gov/Archives/edgar/data/1512673/000162828026032200/0001628280-26-032200-index.html; https://www.sec.gov/Archives/edgar/data/1512673/000162828026053368/0001628280-26-053368-index.html | sec:b69b7814334154dc829671d286f78741849d244ad2b788811293ed9730391437; sec:a73bb34b720519a5365665a8e5a7a52625ee92ce2ceb2c8b0781a94136949b2a; sec:99a185470fd1cd80f8662ac4b30e472730282c1e67ab58bcbc790788eb17a11a</x:v>
      </x:c>
    </x:row>
    <x:row r="146">
      <x:c r="A146" s="18" t="str">
        <x:v>CashAndCashEquivalentsAtCarryingValue</x:v>
      </x:c>
      <x:c r="B146" s="22" t="n">
        <x:v>6564.092</x:v>
      </x:c>
      <x:c r="C146" s="18" t="str">
        <x:v>instant</x:v>
      </x:c>
      <x:c r="D146" s="18" t="str">
        <x:v>2025-12-31</x:v>
      </x:c>
      <x:c r="E146" s="18" t="str">
        <x:v>https://www.sec.gov/Archives/edgar/data/1512673/000162828026012254/0001628280-26-012254-index.html; https://www.sec.gov/Archives/edgar/data/1512673/000162828026032200/0001628280-26-032200-index.html; https://www.sec.gov/Archives/edgar/data/1512673/000162828026053368/0001628280-26-053368-index.html | sec:6bce31d6e2faa078a5c2ba7ef589dae620a8a3d0cbe06288cc5bd01ca4bb7220; sec:44dd41c0480e0211ba9e7443066cc37dee121b6b576b292459e2d5c17e65bb4b; sec:5ecee695e2a608e912783e10ba3743f9b06d2e8ea1b91cec192f633add7355f9</x:v>
      </x:c>
    </x:row>
    <x:row r="147">
      <x:c r="A147" s="18" t="str">
        <x:v>notes_principal</x:v>
      </x:c>
      <x:c r="B147" s="22" t="n">
        <x:v>7350</x:v>
      </x:c>
      <x:c r="C147" s="18" t="str">
        <x:v>instant</x:v>
      </x:c>
      <x:c r="D147" s="18" t="str">
        <x:v>2025-12-31</x:v>
      </x:c>
      <x:c r="E147" s="18" t="str">
        <x:v>https://www.sec.gov/Archives/edgar/data/1512673/000162828026012254/xyz-20251231.htm | SEC companyfacts us-gaap:DebtInstrumentCarryingAmount</x:v>
      </x:c>
    </x:row>
    <x:row r="148">
      <x:c r="A148" s="18" t="str">
        <x:v>warehouse_principal</x:v>
      </x:c>
      <x:c r="B148" s="22" t="n">
        <x:v>1364.883</x:v>
      </x:c>
      <x:c r="C148" s="18" t="str">
        <x:v>instant</x:v>
      </x:c>
      <x:c r="D148" s="18" t="str">
        <x:v>2025-12-31</x:v>
      </x:c>
      <x:c r="E148" s="18" t="str">
        <x:v>https://www.sec.gov/Archives/edgar/data/1512673/000162828026012254/xyz-20251231.htm | Indebtedness note, Warehouse Funding Facilities, complete principal maturity schedule total (in thousands)</x:v>
      </x:c>
    </x:row>
    <x:row r="149">
      <x:c r="A149" s="18" t="str">
        <x:v>consolidated_equity</x:v>
      </x:c>
      <x:c r="B149" s="22" t="n">
        <x:v>22169.882</x:v>
      </x:c>
      <x:c r="C149" s="18" t="str">
        <x:v>instant</x:v>
      </x:c>
      <x:c r="D149" s="18" t="str">
        <x:v>2025-12-31</x:v>
      </x:c>
      <x:c r="E149" s="18" t="str">
        <x:v>https://www.sec.gov/Archives/edgar/data/1512673/000162828026012254/xyz-20251231.htm | SEC companyfacts us-gaap:StockholdersEquityIncludingPortionAttributableToNoncontrollingInterest</x:v>
      </x:c>
    </x:row>
    <x:row r="150">
      <x:c r="A150" s="18" t="str">
        <x:v>net_interest_signed</x:v>
      </x:c>
      <x:c r="B150" s="22" t="n">
        <x:v>-129.363</x:v>
      </x:c>
      <x:c r="C150" s="18" t="str">
        <x:v>2025-01-01</x:v>
      </x:c>
      <x:c r="D150" s="18" t="str">
        <x:v>2025-12-31</x:v>
      </x:c>
      <x:c r="E150" s="18" t="str">
        <x:v>https://www.sec.gov/Archives/edgar/data/1512673/000162828026012254/xyz-20251231.htm | SEC companyfacts us-gaap:InterestIncomeExpenseNonoperatingNet</x:v>
      </x:c>
    </x:row>
    <x:row r="151">
      <x:c r="A151" s="18" t="str">
        <x:v>Revenues</x:v>
      </x:c>
      <x:c r="B151" s="22" t="n">
        <x:v>12674.534</x:v>
      </x:c>
      <x:c r="C151" s="18" t="str">
        <x:v>2026-01-01</x:v>
      </x:c>
      <x:c r="D151" s="18" t="str">
        <x:v>2026-06-30</x:v>
      </x:c>
      <x:c r="E151" s="18" t="str">
        <x:v>https://www.sec.gov/Archives/edgar/data/1512673/000162828026053368/0001628280-26-053368-index.html | sec:1204fc97f1dbf3fc224023818bcfaefeb3fd7697bb981a394e3b20b0d0c5d765</x:v>
      </x:c>
    </x:row>
    <x:row r="152">
      <x:c r="A152" s="18" t="str">
        <x:v>CostOfRevenue</x:v>
      </x:c>
      <x:c r="B152" s="22" t="n">
        <x:v>6599.214</x:v>
      </x:c>
      <x:c r="C152" s="18" t="str">
        <x:v>2026-01-01</x:v>
      </x:c>
      <x:c r="D152" s="18" t="str">
        <x:v>2026-06-30</x:v>
      </x:c>
      <x:c r="E152" s="18" t="str">
        <x:v>https://www.sec.gov/Archives/edgar/data/1512673/000162828026053368/0001628280-26-053368-index.html | sec:4f963c2b08f8017982884bc4f9e8e66506f030262498d363c8bc15a210442b37</x:v>
      </x:c>
    </x:row>
    <x:row r="153">
      <x:c r="A153" s="18" t="str">
        <x:v>GrossProfit</x:v>
      </x:c>
      <x:c r="B153" s="22" t="n">
        <x:v>6075.32</x:v>
      </x:c>
      <x:c r="C153" s="18" t="str">
        <x:v>2026-01-01</x:v>
      </x:c>
      <x:c r="D153" s="18" t="str">
        <x:v>2026-06-30</x:v>
      </x:c>
      <x:c r="E153" s="18" t="str">
        <x:v>https://www.sec.gov/Archives/edgar/data/1512673/000162828026053368/0001628280-26-053368-index.html | sec:05ffea45adc7a4e07747b44d2a4c83d9280ed692ef5616ac1fa1de16ed299ef3</x:v>
      </x:c>
    </x:row>
    <x:row r="154">
      <x:c r="A154" s="18" t="str">
        <x:v>OperatingIncomeLoss</x:v>
      </x:c>
      <x:c r="B154" s="22" t="n">
        <x:v>274.88</x:v>
      </x:c>
      <x:c r="C154" s="18" t="str">
        <x:v>2026-01-01</x:v>
      </x:c>
      <x:c r="D154" s="18" t="str">
        <x:v>2026-06-30</x:v>
      </x:c>
      <x:c r="E154" s="18" t="str">
        <x:v>https://www.sec.gov/Archives/edgar/data/1512673/000162828026053368/0001628280-26-053368-index.html | sec:2ea0a2a23c6a1ae07821fe926729a00b12ed9d7808b021a5a1c4be48b729206e</x:v>
      </x:c>
    </x:row>
    <x:row r="155">
      <x:c r="A155" s="18" t="str">
        <x:v>IncomeLossFromContinuingOperationsBeforeIncomeTaxesExtraordinaryItemsNoncontrollingInterest</x:v>
      </x:c>
      <x:c r="B155" s="22" t="n">
        <x:v>-91.101</x:v>
      </x:c>
      <x:c r="C155" s="18" t="str">
        <x:v>2026-01-01</x:v>
      </x:c>
      <x:c r="D155" s="18" t="str">
        <x:v>2026-06-30</x:v>
      </x:c>
      <x:c r="E155" s="18" t="str">
        <x:v>https://www.sec.gov/Archives/edgar/data/1512673/000162828026053368/0001628280-26-053368-index.html | sec:14501742cd402d9b5f34ca1845fd7d11a2a94ced0224730707650d80ac29dfff</x:v>
      </x:c>
    </x:row>
    <x:row r="156">
      <x:c r="A156" s="18" t="str">
        <x:v>IncomeTaxExpenseBenefit</x:v>
      </x:c>
      <x:c r="B156" s="22" t="n">
        <x:v>130.425</x:v>
      </x:c>
      <x:c r="C156" s="18" t="str">
        <x:v>2026-01-01</x:v>
      </x:c>
      <x:c r="D156" s="18" t="str">
        <x:v>2026-06-30</x:v>
      </x:c>
      <x:c r="E156" s="18" t="str">
        <x:v>https://www.sec.gov/Archives/edgar/data/1512673/000162828026053368/0001628280-26-053368-index.html | sec:61999b63086a1846e483adb47bf93f1614930f2199fe867c6c877453dc4d2446</x:v>
      </x:c>
    </x:row>
    <x:row r="157">
      <x:c r="A157" s="18" t="str">
        <x:v>NetIncomeLoss</x:v>
      </x:c>
      <x:c r="B157" s="22" t="n">
        <x:v>-220.164</x:v>
      </x:c>
      <x:c r="C157" s="18" t="str">
        <x:v>2026-01-01</x:v>
      </x:c>
      <x:c r="D157" s="18" t="str">
        <x:v>2026-06-30</x:v>
      </x:c>
      <x:c r="E157" s="18" t="str">
        <x:v>https://www.sec.gov/Archives/edgar/data/1512673/000162828026053368/0001628280-26-053368-index.html | sec:6c4fe5f2a029e6271e1798a077effe119b7cd77f23087e08a7bcb0a12a8b9c12</x:v>
      </x:c>
    </x:row>
    <x:row r="158">
      <x:c r="A158" s="18" t="str">
        <x:v>NetCashProvidedByUsedInOperatingActivities</x:v>
      </x:c>
      <x:c r="B158" s="22" t="n">
        <x:v>1985.416</x:v>
      </x:c>
      <x:c r="C158" s="18" t="str">
        <x:v>2026-01-01</x:v>
      </x:c>
      <x:c r="D158" s="18" t="str">
        <x:v>2026-06-30</x:v>
      </x:c>
      <x:c r="E158" s="18" t="str">
        <x:v>https://www.sec.gov/Archives/edgar/data/1512673/000162828026053368/0001628280-26-053368-index.html | sec:93bc1e933f0515fa4c6ef607c9109e3666d89ceebe65dbae9b23ab4c344e0ca7</x:v>
      </x:c>
    </x:row>
    <x:row r="159">
      <x:c r="A159" s="18" t="str">
        <x:v>AssetsCurrent</x:v>
      </x:c>
      <x:c r="B159" s="22" t="n">
        <x:v>23144.875</x:v>
      </x:c>
      <x:c r="C159" s="18" t="str">
        <x:v>instant</x:v>
      </x:c>
      <x:c r="D159" s="18" t="str">
        <x:v>2026-06-30</x:v>
      </x:c>
      <x:c r="E159" s="18" t="str">
        <x:v>https://www.sec.gov/Archives/edgar/data/1512673/000162828026053368/0001628280-26-053368-index.html | sec:3532deff716137402caa8b15a2dabc59e9d11de84a097d70857e0b28c799574a</x:v>
      </x:c>
    </x:row>
    <x:row r="160">
      <x:c r="A160" s="18" t="str">
        <x:v>LiabilitiesCurrent</x:v>
      </x:c>
      <x:c r="B160" s="22" t="n">
        <x:v>10478.501</x:v>
      </x:c>
      <x:c r="C160" s="18" t="str">
        <x:v>instant</x:v>
      </x:c>
      <x:c r="D160" s="18" t="str">
        <x:v>2026-06-30</x:v>
      </x:c>
      <x:c r="E160" s="18" t="str">
        <x:v>https://www.sec.gov/Archives/edgar/data/1512673/000162828026053368/0001628280-26-053368-index.html | sec:8df02b36fb7d79f7fd952d1fd990c9f442519bbccab1c62abba9418970f35817</x:v>
      </x:c>
    </x:row>
    <x:row r="161">
      <x:c r="A161" s="18" t="str">
        <x:v>Assets</x:v>
      </x:c>
      <x:c r="B161" s="22" t="n">
        <x:v>39156.667</x:v>
      </x:c>
      <x:c r="C161" s="18" t="str">
        <x:v>instant</x:v>
      </x:c>
      <x:c r="D161" s="18" t="str">
        <x:v>2026-06-30</x:v>
      </x:c>
      <x:c r="E161" s="18" t="str">
        <x:v>https://www.sec.gov/Archives/edgar/data/1512673/000162828026053368/0001628280-26-053368-index.html | sec:9c82dae44ade0ee8abce7c0ea6fdc8c5275f5571905aca23ca9169cd0a98b379</x:v>
      </x:c>
    </x:row>
    <x:row r="162">
      <x:c r="A162" s="18" t="str">
        <x:v>Liabilities</x:v>
      </x:c>
      <x:c r="B162" s="22" t="n">
        <x:v>17145.35</x:v>
      </x:c>
      <x:c r="C162" s="18" t="str">
        <x:v>instant</x:v>
      </x:c>
      <x:c r="D162" s="18" t="str">
        <x:v>2026-06-30</x:v>
      </x:c>
      <x:c r="E162" s="18" t="str">
        <x:v>https://www.sec.gov/Archives/edgar/data/1512673/000162828026053368/0001628280-26-053368-index.html | sec:1b981da08e2d88371ccd4140aa1f33d32b2857e65c8cc60cd28587f0b0c67e36</x:v>
      </x:c>
    </x:row>
    <x:row r="163">
      <x:c r="A163" s="18" t="str">
        <x:v>CashAndCashEquivalentsAtCarryingValue</x:v>
      </x:c>
      <x:c r="B163" s="22" t="n">
        <x:v>6427.331</x:v>
      </x:c>
      <x:c r="C163" s="18" t="str">
        <x:v>instant</x:v>
      </x:c>
      <x:c r="D163" s="18" t="str">
        <x:v>2026-06-30</x:v>
      </x:c>
      <x:c r="E163" s="18" t="str">
        <x:v>https://www.sec.gov/Archives/edgar/data/1512673/000162828026053368/0001628280-26-053368-index.html | sec:88fb5eb43005af600dd26224724f4cb61fb796fea757ec0d9e3338ef6b4fbd97</x:v>
      </x:c>
    </x:row>
    <x:row r="164">
      <x:c r="A164" s="18" t="str">
        <x:v>notes_principal</x:v>
      </x:c>
      <x:c r="B164" s="22" t="n">
        <x:v>5775</x:v>
      </x:c>
      <x:c r="C164" s="18" t="str">
        <x:v>instant</x:v>
      </x:c>
      <x:c r="D164" s="18" t="str">
        <x:v>2026-06-30</x:v>
      </x:c>
      <x:c r="E164" s="18" t="str">
        <x:v>https://www.sec.gov/Archives/edgar/data/1512673/000162828026053368/xyz-20260630.htm | SEC companyfacts us-gaap:DebtInstrumentCarryingAmount</x:v>
      </x:c>
    </x:row>
    <x:row r="165">
      <x:c r="A165" s="18" t="str">
        <x:v>warehouse_principal</x:v>
      </x:c>
      <x:c r="B165" s="22" t="n">
        <x:v>1161.944</x:v>
      </x:c>
      <x:c r="C165" s="18" t="str">
        <x:v>instant</x:v>
      </x:c>
      <x:c r="D165" s="18" t="str">
        <x:v>2026-06-30</x:v>
      </x:c>
      <x:c r="E165" s="18" t="str">
        <x:v>https://www.sec.gov/Archives/edgar/data/1512673/000162828026053368/xyz-20260630.htm | Indebtedness note, Warehouse Funding Facilities, complete principal maturity schedule total (in thousands)</x:v>
      </x:c>
    </x:row>
    <x:row r="166">
      <x:c r="A166" s="18" t="str">
        <x:v>consolidated_equity</x:v>
      </x:c>
      <x:c r="B166" s="22" t="n">
        <x:v>22011.317</x:v>
      </x:c>
      <x:c r="C166" s="18" t="str">
        <x:v>instant</x:v>
      </x:c>
      <x:c r="D166" s="18" t="str">
        <x:v>2026-06-30</x:v>
      </x:c>
      <x:c r="E166" s="18" t="str">
        <x:v>https://www.sec.gov/Archives/edgar/data/1512673/000162828026053368/xyz-20260630.htm | SEC companyfacts us-gaap:StockholdersEquityIncludingPortionAttributableToNoncontrollingInterest</x:v>
      </x:c>
    </x:row>
    <x:row r="167">
      <x:c r="A167" s="18" t="str">
        <x:v>net_interest_signed</x:v>
      </x:c>
      <x:c r="B167" s="22" t="n">
        <x:v>-108.916</x:v>
      </x:c>
      <x:c r="C167" s="18" t="str">
        <x:v>2026-01-01</x:v>
      </x:c>
      <x:c r="D167" s="18" t="str">
        <x:v>2026-06-30</x:v>
      </x:c>
      <x:c r="E167" s="18" t="str">
        <x:v>https://www.sec.gov/Archives/edgar/data/1512673/000162828026053368/xyz-20260630.htm | SEC companyfacts us-gaap:InterestIncomeExpenseNonoperatingNet</x:v>
      </x:c>
    </x:row>
    <x:row r="168">
      <x:c r="A168" s="18"/>
      <x:c r="B168" s="18"/>
      <x:c r="C168" s="18"/>
      <x:c r="D168" s="18"/>
      <x:c r="E168" s="18"/>
    </x:row>
  </x:sheetData>
  <x:mergeCells>
    <x:mergeCell ref="A2:E2"/>
    <x:mergeCell ref="A3:E3"/>
    <x:mergeCell ref="A4:E4"/>
    <x:mergeCell ref="A5:E5"/>
    <x:mergeCell ref="A6:E6"/>
    <x:mergeCell ref="A8:E8"/>
    <x:mergeCell ref="A20:E20"/>
    <x:mergeCell ref="A22:E22"/>
    <x:mergeCell ref="A23:E23"/>
    <x:mergeCell ref="A24:E24"/>
    <x:mergeCell ref="A25:E25"/>
    <x:mergeCell ref="A26:E26"/>
    <x:mergeCell ref="A28:E28"/>
    <x:mergeCell ref="A34:E34"/>
    <x:mergeCell ref="A35:E35"/>
    <x:mergeCell ref="A37:E37"/>
    <x:mergeCell ref="A44:E44"/>
    <x:mergeCell ref="A45:E45"/>
    <x:mergeCell ref="A46:E46"/>
    <x:mergeCell ref="A48:E48"/>
    <x:mergeCell ref="A49:E49"/>
  </x:mergeCells>
  <x:pageMargins left="0.7" right="0.7" top="0.75" bottom="0.75" header="0.3" footer="0.3"/>
</x:worksheet>
</file>