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248508dff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76cb0cae8c12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0.00%;(0.00%);0.00%"/>
  </x:numFmts>
  <x:fonts count="11">
    <x:font>
      <x:sz val="11"/>
      <x:name val="Carlito"/>
    </x:font>
    <x:font>
      <x:b/>
      <x:sz val="1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5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10" fillId="0" borderId="0" xfId="0" applyNumberFormat="1" applyFont="1" applyFill="1" applyBorder="1"/>
    <x:xf numFmtId="200" fontId="8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 wrapText="1"/>
    </x:xf>
    <x:xf numFmtId="0" fontId="9" fillId="2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8a57c9ff24673" /><Relationship Type="http://schemas.openxmlformats.org/officeDocument/2006/relationships/theme" Target="/xl/theme/theme1.xml" Id="R43b11b4ed1b64a05" /><Relationship Type="http://schemas.openxmlformats.org/officeDocument/2006/relationships/sharedStrings" Target="/xl/sharedStrings.xml" Id="R83209dba7bff4a7e" /><Relationship Type="http://schemas.openxmlformats.org/officeDocument/2006/relationships/worksheet" Target="/xl/worksheets/sheet1.xml" Id="R76cb0cae8c12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2">
      <x:c r="A2" s="10" t="str">
        <x:v>Amazon（AMZN）信用分析</x:v>
      </x:c>
      <x:c r="B2" s="11"/>
      <x:c r="C2" s="11"/>
      <x:c r="D2" s="11"/>
      <x:c r="E2" s="11"/>
    </x:row>
    <x:row r="3" ht="24" customHeight="1">
      <x:c r="A3" s="17" t="str">
        <x:v>USD 百萬元｜合併範圍｜截止日 2026-10-25｜master 分支</x:v>
      </x:c>
      <x:c r="B3" s="17"/>
      <x:c r="C3" s="17"/>
      <x:c r="D3" s="17"/>
      <x:c r="E3" s="17"/>
    </x:row>
    <x:row r="4" ht="34" customHeight="1">
      <x:c r="A4" s="17" t="str">
        <x:v>依要求保留 FY2024、Q1 2025、FY2025、Q2 2026。損益分別為 3 個月與 6 個月，禁止直接計算兩欄成長率。</x:v>
      </x:c>
      <x:c r="B4" s="17"/>
      <x:c r="C4" s="17"/>
      <x:c r="D4" s="17"/>
      <x:c r="E4" s="17"/>
    </x:row>
    <x:row r="5" ht="34" customHeight="1">
      <x:c r="A5" s="17" t="str">
        <x:v>待驗收草稿：速動資產及總債務／融資租賃調節未完成；dbt 執行失敗；既有 marts 未視為本次驗收通過。</x:v>
      </x:c>
      <x:c r="B5" s="17"/>
      <x:c r="C5" s="17"/>
      <x:c r="D5" s="17"/>
      <x:c r="E5" s="17"/>
    </x:row>
    <x:row r="6" ht="34" customHeight="1">
      <x:c r="A6" s="17" t="str">
        <x:v>來源：本次 SEC → BigQuery／GCS；數值按新入庫 fact IDs 讀回核對。MD&amp;A 已完成 API 分析並另行審閱。</x:v>
      </x:c>
      <x:c r="B6" s="17"/>
      <x:c r="C6" s="17"/>
      <x:c r="D6" s="17"/>
      <x:c r="E6" s="17"/>
    </x:row>
    <x:row r="7">
      <x:c r="A7" s="18"/>
      <x:c r="B7" s="18"/>
      <x:c r="C7" s="18"/>
      <x:c r="D7" s="18"/>
      <x:c r="E7" s="18"/>
    </x:row>
    <x:row r="8" ht="24" customHeight="1">
      <x:c r="A8" s="17" t="str">
        <x:v>YTD (Quarterly) Income</x:v>
      </x:c>
      <x:c r="B8" s="17"/>
      <x:c r="C8" s="17"/>
      <x:c r="D8" s="17"/>
      <x:c r="E8" s="17"/>
    </x:row>
    <x:row r="9" ht="36" customHeight="1">
      <x:c r="A9" s="19" t="str">
        <x:v>科目</x:v>
      </x:c>
      <x:c r="B9" s="19" t="str">
        <x:v>Q1 2025 YTD (3 months)</x:v>
      </x:c>
      <x:c r="C9" s="19" t="str">
        <x:v>% sales</x:v>
      </x:c>
      <x:c r="D9" s="19" t="str">
        <x:v>Q2 2026 YTD (6 months)</x:v>
      </x:c>
      <x:c r="E9" s="19" t="str">
        <x:v>% sales</x:v>
      </x:c>
    </x:row>
    <x:row r="10">
      <x:c r="A10" s="18" t="str">
        <x:v>Net sales</x:v>
      </x:c>
      <x:c r="B10" s="23" t="n">
        <x:f>B113</x:f>
        <x:v>155667</x:v>
      </x:c>
      <x:c r="C10" s="24" t="n">
        <x:f>B10/B113</x:f>
        <x:v>1</x:v>
      </x:c>
      <x:c r="D10" s="23" t="n">
        <x:f>B147</x:f>
        <x:v>382125</x:v>
      </x:c>
      <x:c r="E10" s="24" t="n">
        <x:f>D10/B147</x:f>
        <x:v>1</x:v>
      </x:c>
    </x:row>
    <x:row r="11">
      <x:c r="A11" s="18" t="str">
        <x:v>Cost of sales</x:v>
      </x:c>
      <x:c r="B11" s="23" t="n">
        <x:f>B114</x:f>
        <x:v>76976</x:v>
      </x:c>
      <x:c r="C11" s="24" t="n">
        <x:f>B11/B113</x:f>
        <x:v>0.4944914464851253</x:v>
      </x:c>
      <x:c r="D11" s="23" t="n">
        <x:f>B148</x:f>
        <x:v>183241</x:v>
      </x:c>
      <x:c r="E11" s="24" t="n">
        <x:f>D11/B147</x:f>
        <x:v>0.47953156689564935</x:v>
      </x:c>
    </x:row>
    <x:row r="12">
      <x:c r="A12" s="18" t="str">
        <x:v>Implied gross profit</x:v>
      </x:c>
      <x:c r="B12" s="23" t="n">
        <x:f>B113-B114</x:f>
        <x:v>78691</x:v>
      </x:c>
      <x:c r="C12" s="24" t="n">
        <x:f>B12/B113</x:f>
        <x:v>0.5055085535148747</x:v>
      </x:c>
      <x:c r="D12" s="23" t="n">
        <x:f>B147-B148</x:f>
        <x:v>198884</x:v>
      </x:c>
      <x:c r="E12" s="24" t="n">
        <x:f>D12/B147</x:f>
        <x:v>0.5204684331043506</x:v>
      </x:c>
    </x:row>
    <x:row r="13">
      <x:c r="A13" s="18" t="str">
        <x:v>Operating expense excluding cost of sales</x:v>
      </x:c>
      <x:c r="B13" s="23" t="n">
        <x:f>B113-B114-B115</x:f>
        <x:v>60286</x:v>
      </x:c>
      <x:c r="C13" s="24" t="n">
        <x:f>B13/B113</x:f>
        <x:v>0.38727540197986726</x:v>
      </x:c>
      <x:c r="D13" s="23" t="n">
        <x:f>B147-B148-B149</x:f>
        <x:v>147571</x:v>
      </x:c>
      <x:c r="E13" s="24" t="n">
        <x:f>D13/B147</x:f>
        <x:v>0.3861851488387308</x:v>
      </x:c>
    </x:row>
    <x:row r="14">
      <x:c r="A14" s="18" t="str">
        <x:v>Operating income</x:v>
      </x:c>
      <x:c r="B14" s="23" t="n">
        <x:f>B115</x:f>
        <x:v>18405</x:v>
      </x:c>
      <x:c r="C14" s="24" t="n">
        <x:f>B14/B113</x:f>
        <x:v>0.11823315153500742</x:v>
      </x:c>
      <x:c r="D14" s="23" t="n">
        <x:f>B149</x:f>
        <x:v>51313</x:v>
      </x:c>
      <x:c r="E14" s="24" t="n">
        <x:f>D14/B147</x:f>
        <x:v>0.1342832842656199</x:v>
      </x:c>
    </x:row>
    <x:row r="15">
      <x:c r="A15" s="18" t="str">
        <x:v>Gross interest expense</x:v>
      </x:c>
      <x:c r="B15" s="23" t="n">
        <x:f>B116</x:f>
        <x:v>541</x:v>
      </x:c>
      <x:c r="C15" s="24" t="n">
        <x:f>B15/B113</x:f>
        <x:v>0.0034753672904340675</x:v>
      </x:c>
      <x:c r="D15" s="23" t="n">
        <x:f>B150</x:f>
        <x:v>2114</x:v>
      </x:c>
      <x:c r="E15" s="24" t="n">
        <x:f>D15/B147</x:f>
        <x:v>0.00553222113182859</x:v>
      </x:c>
    </x:row>
    <x:row r="16">
      <x:c r="A16" s="18" t="str">
        <x:v>Income before taxes</x:v>
      </x:c>
      <x:c r="B16" s="23" t="n">
        <x:f>B118+B117</x:f>
        <x:v>21680</x:v>
      </x:c>
      <x:c r="C16" s="24" t="n">
        <x:f>B16/B113</x:f>
        <x:v>0.13927165038190498</x:v>
      </x:c>
      <x:c r="D16" s="23" t="n">
        <x:f>B152+B151</x:f>
        <x:v>120661</x:v>
      </x:c>
      <x:c r="E16" s="24" t="n">
        <x:f>D16/B147</x:f>
        <x:v>0.3157631665031076</x:v>
      </x:c>
    </x:row>
    <x:row r="17">
      <x:c r="A17" s="18" t="str">
        <x:v>Income tax expense</x:v>
      </x:c>
      <x:c r="B17" s="23" t="n">
        <x:f>B117</x:f>
        <x:v>4553</x:v>
      </x:c>
      <x:c r="C17" s="24" t="n">
        <x:f>B17/B113</x:f>
        <x:v>0.029248331374022753</x:v>
      </x:c>
      <x:c r="D17" s="23" t="n">
        <x:f>B151</x:f>
        <x:v>27759</x:v>
      </x:c>
      <x:c r="E17" s="24" t="n">
        <x:f>D17/B147</x:f>
        <x:v>0.07264376840039254</x:v>
      </x:c>
    </x:row>
    <x:row r="18">
      <x:c r="A18" s="18" t="str">
        <x:v>Net income</x:v>
      </x:c>
      <x:c r="B18" s="23" t="n">
        <x:f>B118</x:f>
        <x:v>17127</x:v>
      </x:c>
      <x:c r="C18" s="24" t="n">
        <x:f>B18/B113</x:f>
        <x:v>0.1100233190078822</x:v>
      </x:c>
      <x:c r="D18" s="23" t="n">
        <x:f>B152</x:f>
        <x:v>92902</x:v>
      </x:c>
      <x:c r="E18" s="24" t="n">
        <x:f>D18/B147</x:f>
        <x:v>0.24311939810271507</x:v>
      </x:c>
    </x:row>
    <x:row r="19">
      <x:c r="A19" s="18"/>
      <x:c r="B19" s="25"/>
      <x:c r="C19" s="25"/>
      <x:c r="D19" s="25"/>
      <x:c r="E19" s="25"/>
    </x:row>
    <x:row r="20" ht="50" customHeight="1">
      <x:c r="A20" s="17" t="str">
        <x:v>Matched-period context: H1 2026 revenue was $382,125.00m, up 18.17% against H1 2025, not against the requested Q1 2025 column. The filing attributes growth to AWS customer usage and higher retail unit volumes, third-party seller activity, advertising and subscriptions.</x:v>
      </x:c>
      <x:c r="B20" s="26"/>
      <x:c r="C20" s="26"/>
      <x:c r="D20" s="26"/>
      <x:c r="E20" s="26"/>
    </x:row>
    <x:row r="21" ht="50" customHeight="1">
      <x:c r="A21" s="17" t="str">
        <x:v>Implied gross margin was 52.05% versus 51.21% in H1 2025. This is revenue less cost of sales, not an Amazon-reported gross-profit subtotal; AWS infrastructure costs also appear elsewhere in operating expenses, limiting interpretation.</x:v>
      </x:c>
      <x:c r="B21" s="26"/>
      <x:c r="C21" s="26"/>
      <x:c r="D21" s="26"/>
      <x:c r="E21" s="26"/>
    </x:row>
    <x:row r="22" ht="50" customHeight="1">
      <x:c r="A22" s="17" t="str">
        <x:v>H1 operating margin increased from 11.62% to 13.43%. MD&amp;A identifies AWS growth and retail operating leverage; continued infrastructure investment remains a material expense and funding requirement.</x:v>
      </x:c>
      <x:c r="B22" s="26"/>
      <x:c r="C22" s="26"/>
      <x:c r="D22" s="26"/>
      <x:c r="E22" s="26"/>
    </x:row>
    <x:row r="23" ht="50" customHeight="1">
      <x:c r="A23" s="17" t="str">
        <x:v>H1 interest expense increased from $1,057.00m to $2,114.00m. The filing attributes the increase to debt, including new Notes issuances, and finance leases.</x:v>
      </x:c>
      <x:c r="B23" s="26"/>
      <x:c r="C23" s="26"/>
      <x:c r="D23" s="26"/>
      <x:c r="E23" s="26"/>
    </x:row>
    <x:row r="24" ht="50" customHeight="1">
      <x:c r="A24" s="17" t="str">
        <x:v>H1 2026 pre-tax earnings include material non-cash Anthropic investment valuation and reclassification gains. Standard EBITDA retains these gains under the selected Net Income + Interest + Taxes + D&amp;A definition; it should not be read as recurring cash earnings.</x:v>
      </x:c>
      <x:c r="B24" s="26"/>
      <x:c r="C24" s="26"/>
      <x:c r="D24" s="26"/>
      <x:c r="E24" s="26"/>
    </x:row>
    <x:row r="25">
      <x:c r="A25" s="18"/>
      <x:c r="B25" s="25"/>
      <x:c r="C25" s="25"/>
      <x:c r="D25" s="25"/>
      <x:c r="E25" s="25"/>
    </x:row>
    <x:row r="26" ht="24" customHeight="1">
      <x:c r="A26" s="17" t="str">
        <x:v>Ratios YTD</x:v>
      </x:c>
      <x:c r="B26" s="26"/>
      <x:c r="C26" s="26"/>
      <x:c r="D26" s="26"/>
      <x:c r="E26" s="26"/>
    </x:row>
    <x:row r="27" ht="36" customHeight="1">
      <x:c r="A27" s="19" t="str">
        <x:v>科目</x:v>
      </x:c>
      <x:c r="B27" s="27" t="str">
        <x:v>2024-12-31</x:v>
      </x:c>
      <x:c r="C27" s="27" t="str">
        <x:v>2025-03-31</x:v>
      </x:c>
      <x:c r="D27" s="27" t="str">
        <x:v>2025-12-31</x:v>
      </x:c>
      <x:c r="E27" s="27" t="str">
        <x:v>2026-06-30</x:v>
      </x:c>
    </x:row>
    <x:row r="28">
      <x:c r="A28" s="18" t="str">
        <x:v>Current ratio</x:v>
      </x:c>
      <x:c r="B28" s="24" t="n">
        <x:f>B108/B109</x:f>
        <x:v>1.063734806137178</x:v>
      </x:c>
      <x:c r="C28" s="24" t="n">
        <x:f>B121/B122</x:f>
        <x:v>1.0481009927854188</x:v>
      </x:c>
      <x:c r="D28" s="24" t="n">
        <x:f>B142/B143</x:f>
        <x:v>1.0508153482718285</x:v>
      </x:c>
      <x:c r="E28" s="24" t="n">
        <x:f>B155/B156</x:f>
        <x:v>1.0331158765552857</x:v>
      </x:c>
    </x:row>
    <x:row r="29">
      <x:c r="A29" s="18" t="str">
        <x:v>Quick ratio</x:v>
      </x:c>
      <x:c r="B29" s="25" t="str">
        <x:v>待核實 Quick Assets</x:v>
      </x:c>
      <x:c r="C29" s="25" t="str">
        <x:v>待核實 Quick Assets</x:v>
      </x:c>
      <x:c r="D29" s="25" t="str">
        <x:v>待核實 Quick Assets</x:v>
      </x:c>
      <x:c r="E29" s="25" t="str">
        <x:v>待核實 Quick Assets</x:v>
      </x:c>
    </x:row>
    <x:row r="30">
      <x:c r="A30" s="18" t="str">
        <x:v>Debt ratio (liabilities / equity)</x:v>
      </x:c>
      <x:c r="B30" s="24" t="n">
        <x:f>(B110-B111)/B111</x:f>
        <x:v>1.1851732699234185</x:v>
      </x:c>
      <x:c r="C30" s="24" t="n">
        <x:f>(B123-B124)/B124</x:f>
        <x:v>1.1030578650197636</x:v>
      </x:c>
      <x:c r="D30" s="24" t="n">
        <x:f>(B144-B145)/B145</x:f>
        <x:v>0.9900551007748166</x:v>
      </x:c>
      <x:c r="E30" s="24" t="n">
        <x:f>(B157-B158)/B158</x:f>
        <x:v>0.9863112287444256</x:v>
      </x:c>
    </x:row>
    <x:row r="31">
      <x:c r="A31" s="18"/>
      <x:c r="B31" s="25"/>
      <x:c r="C31" s="25"/>
      <x:c r="D31" s="25"/>
      <x:c r="E31" s="25"/>
    </x:row>
    <x:row r="32" ht="46" customHeight="1">
      <x:c r="A32" s="17" t="str">
        <x:v>Current ratio changed from 1.05x at December 2025 to 1.03x at June 2026. Quick ratio remains pending verification of unrestricted cash, liquid securities and eligible net receivables; it is not substituted with current assets less inventory.</x:v>
      </x:c>
      <x:c r="B32" s="26"/>
      <x:c r="C32" s="26"/>
      <x:c r="D32" s="26"/>
      <x:c r="E32" s="26"/>
    </x:row>
    <x:row r="33" ht="46" customHeight="1">
      <x:c r="A33" s="17" t="str">
        <x:v>Debt ratio below means total liabilities divided by consolidated equity. Total liabilities are derived from assets less equity and checked against the consolidated balance-sheet structure.</x:v>
      </x:c>
      <x:c r="B33" s="26"/>
      <x:c r="C33" s="26"/>
      <x:c r="D33" s="26"/>
      <x:c r="E33" s="26"/>
    </x:row>
    <x:row r="34">
      <x:c r="A34" s="18"/>
      <x:c r="B34" s="25"/>
      <x:c r="C34" s="25"/>
      <x:c r="D34" s="25"/>
      <x:c r="E34" s="25"/>
    </x:row>
    <x:row r="35" ht="24" customHeight="1">
      <x:c r="A35" s="17" t="str">
        <x:v>Leverage Analysis YTD</x:v>
      </x:c>
      <x:c r="B35" s="26"/>
      <x:c r="C35" s="26"/>
      <x:c r="D35" s="26"/>
      <x:c r="E35" s="26"/>
    </x:row>
    <x:row r="36" ht="36" customHeight="1">
      <x:c r="A36" s="19" t="str">
        <x:v>科目</x:v>
      </x:c>
      <x:c r="B36" s="27" t="str">
        <x:v>2024-12-31</x:v>
      </x:c>
      <x:c r="C36" s="27" t="str">
        <x:v>2025-03-31</x:v>
      </x:c>
      <x:c r="D36" s="27" t="str">
        <x:v>2025-12-31</x:v>
      </x:c>
      <x:c r="E36" s="27" t="str">
        <x:v>2026-06-30</x:v>
      </x:c>
    </x:row>
    <x:row r="37">
      <x:c r="A37" s="18" t="str">
        <x:v>Total debt</x:v>
      </x:c>
      <x:c r="B37" s="25" t="str">
        <x:v>待核實借款／融資租賃</x:v>
      </x:c>
      <x:c r="C37" s="25" t="str">
        <x:v>待核實借款／融資租賃</x:v>
      </x:c>
      <x:c r="D37" s="25" t="str">
        <x:v>待核實借款／融資租賃</x:v>
      </x:c>
      <x:c r="E37" s="25" t="str">
        <x:v>待核實借款／融資租賃</x:v>
      </x:c>
    </x:row>
    <x:row r="38">
      <x:c r="A38" s="18" t="str">
        <x:v>LTM Standard EBITDA</x:v>
      </x:c>
      <x:c r="B38" s="23" t="n">
        <x:f>B105+B103+B104+B106</x:f>
        <x:v>123714</x:v>
      </x:c>
      <x:c r="C38" s="23" t="n">
        <x:f>(B105+B103+B104+B106)+(B118+B116+B117+B119)-(B131+B129+B130+B132)</x:f>
        <x:v>134971</x:v>
      </x:c>
      <x:c r="D38" s="23" t="n">
        <x:f>B139+B137+B138+B140</x:f>
        <x:v>164787</x:v>
      </x:c>
      <x:c r="E38" s="23" t="n">
        <x:f>(B139+B137+B138+B140)+(B152+B150+B151+B153)-(B165+B163+B164+B166)</x:f>
        <x:v>253427</x:v>
      </x:c>
    </x:row>
    <x:row r="39" ht="42" customHeight="1">
      <x:c r="A39" s="18" t="str">
        <x:v>EBITDA basis</x:v>
      </x:c>
      <x:c r="B39" s="26" t="str">
        <x:v>Net Income + Interest + Taxes + D&amp;A</x:v>
      </x:c>
      <x:c r="C39" s="26" t="str">
        <x:v>Net Income + Interest + Taxes + D&amp;A</x:v>
      </x:c>
      <x:c r="D39" s="26" t="str">
        <x:v>Net Income + Interest + Taxes + D&amp;A</x:v>
      </x:c>
      <x:c r="E39" s="26" t="str">
        <x:v>Net Income + Interest + Taxes + D&amp;A</x:v>
      </x:c>
    </x:row>
    <x:row r="40">
      <x:c r="A40" s="18" t="str">
        <x:v>Total leverage</x:v>
      </x:c>
      <x:c r="B40" s="25" t="str">
        <x:v>無法計算：總債務待核實</x:v>
      </x:c>
      <x:c r="C40" s="25" t="str">
        <x:v>無法計算：總債務待核實</x:v>
      </x:c>
      <x:c r="D40" s="25" t="str">
        <x:v>無法計算：總債務待核實</x:v>
      </x:c>
      <x:c r="E40" s="25" t="str">
        <x:v>無法計算：總債務待核實</x:v>
      </x:c>
    </x:row>
    <x:row r="41">
      <x:c r="A41" s="18"/>
      <x:c r="B41" s="18"/>
      <x:c r="C41" s="18"/>
      <x:c r="D41" s="18"/>
      <x:c r="E41" s="18"/>
    </x:row>
    <x:row r="42" ht="54" customHeight="1">
      <x:c r="A42" s="17" t="str">
        <x:v>Total debt and leverage remain pending full reconciliation of borrowings, finance leases and financing obligations. Operating leases are excluded under the previously approved policy; the legacy mart borrowing subtotal is not presented as complete debt.</x:v>
      </x:c>
      <x:c r="B42" s="17"/>
      <x:c r="C42" s="17"/>
      <x:c r="D42" s="17"/>
      <x:c r="E42" s="17"/>
    </x:row>
    <x:row r="43" ht="54" customHeight="1">
      <x:c r="A43" s="17" t="str">
        <x:v>The filing reports H1 2026 cash capital expenditure of $96.3bn versus $71.4bn operating cash flow, alongside substantial strategic investment outflows and new borrowing. Credit implication: investment spending is absorbing operating cash generation and increasing reliance on financing. These MD&amp;A amounts are rounded source disclosures.</x:v>
      </x:c>
      <x:c r="B43" s="17"/>
      <x:c r="C43" s="17"/>
      <x:c r="D43" s="17"/>
      <x:c r="E43" s="17"/>
    </x:row>
    <x:row r="44" ht="54" customHeight="1">
      <x:c r="A44" s="17" t="str">
        <x:v>Standard EBITDA is calculated for exact LTM windows using prior FY + current YTD - prior comparable YTD for interim dates. It includes non-cash investment gains and has not been substituted with adjusted EBITDA or operating income.</x:v>
      </x:c>
      <x:c r="B44" s="17"/>
      <x:c r="C44" s="17"/>
      <x:c r="D44" s="17"/>
      <x:c r="E44" s="17"/>
    </x:row>
    <x:row r="45">
      <x:c r="A45" s="18"/>
      <x:c r="B45" s="18"/>
      <x:c r="C45" s="18"/>
      <x:c r="D45" s="18"/>
      <x:c r="E45" s="18"/>
    </x:row>
    <x:row r="46" ht="30" customHeight="1">
      <x:c r="A46" s="17" t="str">
        <x:v>MD&amp;A reference: https://www.sec.gov/Archives/edgar/data/1018724/000101872426000026/amzn-20260630.htm</x:v>
      </x:c>
      <x:c r="B46" s="17"/>
      <x:c r="C46" s="17"/>
      <x:c r="D46" s="17"/>
      <x:c r="E46" s="17"/>
    </x:row>
    <x:row r="47">
      <x:c r="A47" s="18"/>
      <x:c r="B47" s="18"/>
      <x:c r="C47" s="18"/>
      <x:c r="D47" s="18"/>
      <x:c r="E47" s="18"/>
    </x:row>
    <x:row r="48" ht="32" customHeight="1">
      <x:c r="A48" s="17" t="str">
        <x:v>財務值保留在下方來源區；全部使用本次 BigQuery 讀回紀錄。完整 fact IDs 及計算橋接見同目錄 source_evidence.json。</x:v>
      </x:c>
      <x:c r="B48" s="17"/>
      <x:c r="C48" s="17"/>
      <x:c r="D48" s="17"/>
      <x:c r="E48" s="17"/>
    </x:row>
    <x:row r="49">
      <x:c r="A49" s="18"/>
      <x:c r="B49" s="18"/>
      <x:c r="C49" s="18"/>
      <x:c r="D49" s="18"/>
      <x:c r="E49" s="18"/>
    </x:row>
    <x:row r="50">
      <x:c r="A50" s="18"/>
      <x:c r="B50" s="18"/>
      <x:c r="C50" s="18"/>
      <x:c r="D50" s="18"/>
      <x:c r="E50" s="18"/>
    </x:row>
    <x:row r="51">
      <x:c r="A51" s="18"/>
      <x:c r="B51" s="18"/>
      <x:c r="C51" s="18"/>
      <x:c r="D51" s="18"/>
      <x:c r="E51" s="18"/>
    </x:row>
    <x:row r="52">
      <x:c r="A52" s="18"/>
      <x:c r="B52" s="18"/>
      <x:c r="C52" s="18"/>
      <x:c r="D52" s="18"/>
      <x:c r="E52" s="18"/>
    </x:row>
    <x:row r="53">
      <x:c r="A53" s="18"/>
      <x:c r="B53" s="18"/>
      <x:c r="C53" s="18"/>
      <x:c r="D53" s="18"/>
      <x:c r="E53" s="18"/>
    </x:row>
    <x:row r="54">
      <x:c r="A54" s="18"/>
      <x:c r="B54" s="18"/>
      <x:c r="C54" s="18"/>
      <x:c r="D54" s="18"/>
      <x:c r="E54" s="18"/>
    </x:row>
    <x:row r="55">
      <x:c r="A55" s="18"/>
      <x:c r="B55" s="18"/>
      <x:c r="C55" s="18"/>
      <x:c r="D55" s="18"/>
      <x:c r="E55" s="18"/>
    </x:row>
    <x:row r="56">
      <x:c r="A56" s="18"/>
      <x:c r="B56" s="18"/>
      <x:c r="C56" s="18"/>
      <x:c r="D56" s="18"/>
      <x:c r="E56" s="18"/>
    </x:row>
    <x:row r="57">
      <x:c r="A57" s="18"/>
      <x:c r="B57" s="18"/>
      <x:c r="C57" s="18"/>
      <x:c r="D57" s="18"/>
      <x:c r="E57" s="18"/>
    </x:row>
    <x:row r="58">
      <x:c r="A58" s="18"/>
      <x:c r="B58" s="18"/>
      <x:c r="C58" s="18"/>
      <x:c r="D58" s="18"/>
      <x:c r="E58" s="18"/>
    </x:row>
    <x:row r="59">
      <x:c r="A59" s="18"/>
      <x:c r="B59" s="18"/>
      <x:c r="C59" s="18"/>
      <x:c r="D59" s="18"/>
      <x:c r="E59" s="18"/>
    </x:row>
    <x:row r="60">
      <x:c r="A60" s="18"/>
      <x:c r="B60" s="18"/>
      <x:c r="C60" s="18"/>
      <x:c r="D60" s="18"/>
      <x:c r="E60" s="18"/>
    </x:row>
    <x:row r="61">
      <x:c r="A61" s="18"/>
      <x:c r="B61" s="18"/>
      <x:c r="C61" s="18"/>
      <x:c r="D61" s="18"/>
      <x:c r="E61" s="18"/>
    </x:row>
    <x:row r="62">
      <x:c r="A62" s="18"/>
      <x:c r="B62" s="18"/>
      <x:c r="C62" s="18"/>
      <x:c r="D62" s="18"/>
      <x:c r="E62" s="18"/>
    </x:row>
    <x:row r="63">
      <x:c r="A63" s="18"/>
      <x:c r="B63" s="18"/>
      <x:c r="C63" s="18"/>
      <x:c r="D63" s="18"/>
      <x:c r="E63" s="18"/>
    </x:row>
    <x:row r="64">
      <x:c r="A64" s="18"/>
      <x:c r="B64" s="18"/>
      <x:c r="C64" s="18"/>
      <x:c r="D64" s="18"/>
      <x:c r="E64" s="18"/>
    </x:row>
    <x:row r="65">
      <x:c r="A65" s="18"/>
      <x:c r="B65" s="18"/>
      <x:c r="C65" s="18"/>
      <x:c r="D65" s="18"/>
      <x:c r="E65" s="18"/>
    </x:row>
    <x:row r="66">
      <x:c r="A66" s="18"/>
      <x:c r="B66" s="18"/>
      <x:c r="C66" s="18"/>
      <x:c r="D66" s="18"/>
      <x:c r="E66" s="18"/>
    </x:row>
    <x:row r="67">
      <x:c r="A67" s="18"/>
      <x:c r="B67" s="18"/>
      <x:c r="C67" s="18"/>
      <x:c r="D67" s="18"/>
      <x:c r="E67" s="18"/>
    </x:row>
    <x:row r="68">
      <x:c r="A68" s="18"/>
      <x:c r="B68" s="18"/>
      <x:c r="C68" s="18"/>
      <x:c r="D68" s="18"/>
      <x:c r="E68" s="18"/>
    </x:row>
    <x:row r="69">
      <x:c r="A69" s="18"/>
      <x:c r="B69" s="18"/>
      <x:c r="C69" s="18"/>
      <x:c r="D69" s="18"/>
      <x:c r="E69" s="18"/>
    </x:row>
    <x:row r="70">
      <x:c r="A70" s="18"/>
      <x:c r="B70" s="18"/>
      <x:c r="C70" s="18"/>
      <x:c r="D70" s="18"/>
      <x:c r="E70" s="18"/>
    </x:row>
    <x:row r="71">
      <x:c r="A71" s="18"/>
      <x:c r="B71" s="18"/>
      <x:c r="C71" s="18"/>
      <x:c r="D71" s="18"/>
      <x:c r="E71" s="18"/>
    </x:row>
    <x:row r="72">
      <x:c r="A72" s="18"/>
      <x:c r="B72" s="18"/>
      <x:c r="C72" s="18"/>
      <x:c r="D72" s="18"/>
      <x:c r="E72" s="18"/>
    </x:row>
    <x:row r="73">
      <x:c r="A73" s="18"/>
      <x:c r="B73" s="18"/>
      <x:c r="C73" s="18"/>
      <x:c r="D73" s="18"/>
      <x:c r="E73" s="18"/>
    </x:row>
    <x:row r="74">
      <x:c r="A74" s="18"/>
      <x:c r="B74" s="18"/>
      <x:c r="C74" s="18"/>
      <x:c r="D74" s="18"/>
      <x:c r="E74" s="18"/>
    </x:row>
    <x:row r="75">
      <x:c r="A75" s="18"/>
      <x:c r="B75" s="18"/>
      <x:c r="C75" s="18"/>
      <x:c r="D75" s="18"/>
      <x:c r="E75" s="18"/>
    </x:row>
    <x:row r="76">
      <x:c r="A76" s="18"/>
      <x:c r="B76" s="18"/>
      <x:c r="C76" s="18"/>
      <x:c r="D76" s="18"/>
      <x:c r="E76" s="18"/>
    </x:row>
    <x:row r="77">
      <x:c r="A77" s="18"/>
      <x:c r="B77" s="18"/>
      <x:c r="C77" s="18"/>
      <x:c r="D77" s="18"/>
      <x:c r="E77" s="18"/>
    </x:row>
    <x:row r="78">
      <x:c r="A78" s="18"/>
      <x:c r="B78" s="18"/>
      <x:c r="C78" s="18"/>
      <x:c r="D78" s="18"/>
      <x:c r="E78" s="18"/>
    </x:row>
    <x:row r="79">
      <x:c r="A79" s="18"/>
      <x:c r="B79" s="18"/>
      <x:c r="C79" s="18"/>
      <x:c r="D79" s="18"/>
      <x:c r="E79" s="18"/>
    </x:row>
    <x:row r="80">
      <x:c r="A80" s="18"/>
      <x:c r="B80" s="18"/>
      <x:c r="C80" s="18"/>
      <x:c r="D80" s="18"/>
      <x:c r="E80" s="18"/>
    </x:row>
    <x:row r="81">
      <x:c r="A81" s="18"/>
      <x:c r="B81" s="18"/>
      <x:c r="C81" s="18"/>
      <x:c r="D81" s="18"/>
      <x:c r="E81" s="18"/>
    </x:row>
    <x:row r="82">
      <x:c r="A82" s="18"/>
      <x:c r="B82" s="18"/>
      <x:c r="C82" s="18"/>
      <x:c r="D82" s="18"/>
      <x:c r="E82" s="18"/>
    </x:row>
    <x:row r="83">
      <x:c r="A83" s="18"/>
      <x:c r="B83" s="18"/>
      <x:c r="C83" s="18"/>
      <x:c r="D83" s="18"/>
      <x:c r="E83" s="18"/>
    </x:row>
    <x:row r="84">
      <x:c r="A84" s="18"/>
      <x:c r="B84" s="18"/>
      <x:c r="C84" s="18"/>
      <x:c r="D84" s="18"/>
      <x:c r="E84" s="18"/>
    </x:row>
    <x:row r="85">
      <x:c r="A85" s="18"/>
      <x:c r="B85" s="18"/>
      <x:c r="C85" s="18"/>
      <x:c r="D85" s="18"/>
      <x:c r="E85" s="18"/>
    </x:row>
    <x:row r="86">
      <x:c r="A86" s="18"/>
      <x:c r="B86" s="18"/>
      <x:c r="C86" s="18"/>
      <x:c r="D86" s="18"/>
      <x:c r="E86" s="18"/>
    </x:row>
    <x:row r="87">
      <x:c r="A87" s="18"/>
      <x:c r="B87" s="18"/>
      <x:c r="C87" s="18"/>
      <x:c r="D87" s="18"/>
      <x:c r="E87" s="18"/>
    </x:row>
    <x:row r="88">
      <x:c r="A88" s="18"/>
      <x:c r="B88" s="18"/>
      <x:c r="C88" s="18"/>
      <x:c r="D88" s="18"/>
      <x:c r="E88" s="18"/>
    </x:row>
    <x:row r="89">
      <x:c r="A89" s="18"/>
      <x:c r="B89" s="18"/>
      <x:c r="C89" s="18"/>
      <x:c r="D89" s="18"/>
      <x:c r="E89" s="18"/>
    </x:row>
    <x:row r="90">
      <x:c r="A90" s="18"/>
      <x:c r="B90" s="18"/>
      <x:c r="C90" s="18"/>
      <x:c r="D90" s="18"/>
      <x:c r="E90" s="18"/>
    </x:row>
    <x:row r="91">
      <x:c r="A91" s="18"/>
      <x:c r="B91" s="18"/>
      <x:c r="C91" s="18"/>
      <x:c r="D91" s="18"/>
      <x:c r="E91" s="18"/>
    </x:row>
    <x:row r="92">
      <x:c r="A92" s="18"/>
      <x:c r="B92" s="18"/>
      <x:c r="C92" s="18"/>
      <x:c r="D92" s="18"/>
      <x:c r="E92" s="18"/>
    </x:row>
    <x:row r="93">
      <x:c r="A93" s="18"/>
      <x:c r="B93" s="18"/>
      <x:c r="C93" s="18"/>
      <x:c r="D93" s="18"/>
      <x:c r="E93" s="18"/>
    </x:row>
    <x:row r="94">
      <x:c r="A94" s="18"/>
      <x:c r="B94" s="18"/>
      <x:c r="C94" s="18"/>
      <x:c r="D94" s="18"/>
      <x:c r="E94" s="18"/>
    </x:row>
    <x:row r="95">
      <x:c r="A95" s="18"/>
      <x:c r="B95" s="18"/>
      <x:c r="C95" s="18"/>
      <x:c r="D95" s="18"/>
      <x:c r="E95" s="18"/>
    </x:row>
    <x:row r="96">
      <x:c r="A96" s="18"/>
      <x:c r="B96" s="18"/>
      <x:c r="C96" s="18"/>
      <x:c r="D96" s="18"/>
      <x:c r="E96" s="18"/>
    </x:row>
    <x:row r="97">
      <x:c r="A97" s="18"/>
      <x:c r="B97" s="18"/>
      <x:c r="C97" s="18"/>
      <x:c r="D97" s="18"/>
      <x:c r="E97" s="18"/>
    </x:row>
    <x:row r="98">
      <x:c r="A98" s="18"/>
      <x:c r="B98" s="18"/>
      <x:c r="C98" s="18"/>
      <x:c r="D98" s="18"/>
      <x:c r="E98" s="18"/>
    </x:row>
    <x:row r="99" ht="36" customHeight="1">
      <x:c r="A99" s="19" t="str">
        <x:v>XBRL tag</x:v>
      </x:c>
      <x:c r="B99" s="19" t="str">
        <x:v>USD million</x:v>
      </x:c>
      <x:c r="C99" s="19" t="str">
        <x:v>Start</x:v>
      </x:c>
      <x:c r="D99" s="19" t="str">
        <x:v>End</x:v>
      </x:c>
      <x:c r="E99" s="19" t="str">
        <x:v>Source / fact IDs</x:v>
      </x:c>
    </x:row>
    <x:row r="100">
      <x:c r="A100" s="18" t="str">
        <x:v>RevenueFromContractWithCustomerExcludingAssessedTax</x:v>
      </x:c>
      <x:c r="B100" s="22" t="n">
        <x:v>637959</x:v>
      </x:c>
      <x:c r="C100" s="18" t="str">
        <x:v>2024-01-01</x:v>
      </x:c>
      <x:c r="D100" s="18" t="str">
        <x:v>2024-12-31</x:v>
      </x:c>
      <x:c r="E100" s="18" t="str">
        <x:v>https://www.sec.gov/Archives/edgar/data/1018724/000101872425000004/0001018724-25-000004-index.html; https://www.sec.gov/Archives/edgar/data/1018724/000101872426000004/0001018724-26-000004-index.html | sec:a84f24d23a65bf194462c92cf5242a3adb99257d00b8e7fea045df2417b2302c; sec:91bdc089638e8dbe5617c4f34f679182006f41686af1f93441f707decac9c884</x:v>
      </x:c>
    </x:row>
    <x:row r="101">
      <x:c r="A101" s="18" t="str">
        <x:v>CostOfGoodsAndServicesSold</x:v>
      </x:c>
      <x:c r="B101" s="22" t="n">
        <x:v>326288</x:v>
      </x:c>
      <x:c r="C101" s="18" t="str">
        <x:v>2024-01-01</x:v>
      </x:c>
      <x:c r="D101" s="18" t="str">
        <x:v>2024-12-31</x:v>
      </x:c>
      <x:c r="E101" s="18" t="str">
        <x:v>https://www.sec.gov/Archives/edgar/data/1018724/000101872425000004/0001018724-25-000004-index.html; https://www.sec.gov/Archives/edgar/data/1018724/000101872426000004/0001018724-26-000004-index.html | sec:6296d15b417a0ba37b0d4431472ef7a7460f6131288fcfcccd5177dd898c6f1e; sec:9851f35234bb2735b5d6ff198746b2e705cffcae0582f2efb84e0e3dfce1e153</x:v>
      </x:c>
    </x:row>
    <x:row r="102">
      <x:c r="A102" s="18" t="str">
        <x:v>OperatingIncomeLoss</x:v>
      </x:c>
      <x:c r="B102" s="22" t="n">
        <x:v>68593</x:v>
      </x:c>
      <x:c r="C102" s="18" t="str">
        <x:v>2024-01-01</x:v>
      </x:c>
      <x:c r="D102" s="18" t="str">
        <x:v>2024-12-31</x:v>
      </x:c>
      <x:c r="E102" s="18" t="str">
        <x:v>https://www.sec.gov/Archives/edgar/data/1018724/000101872425000004/0001018724-25-000004-index.html; https://www.sec.gov/Archives/edgar/data/1018724/000101872426000004/0001018724-26-000004-index.html | sec:47bd854584c2b8027a593d9813f06378deb779f98fcd0ea7378a28048ad3264a; sec:7f6aeff663b760072d6de90db847a742a9d24c0e6cea61a3b55a0d62d53c2264</x:v>
      </x:c>
    </x:row>
    <x:row r="103">
      <x:c r="A103" s="18" t="str">
        <x:v>InterestExpenseNonoperating</x:v>
      </x:c>
      <x:c r="B103" s="22" t="n">
        <x:v>2406</x:v>
      </x:c>
      <x:c r="C103" s="18" t="str">
        <x:v>2024-01-01</x:v>
      </x:c>
      <x:c r="D103" s="18" t="str">
        <x:v>2024-12-31</x:v>
      </x:c>
      <x:c r="E103" s="18" t="str">
        <x:v>https://www.sec.gov/Archives/edgar/data/1018724/000101872425000004/0001018724-25-000004-index.html; https://www.sec.gov/Archives/edgar/data/1018724/000101872426000004/0001018724-26-000004-index.html | sec:dd899a18b1429c5cf022f5441a74e201e16a49a13b3594a1429c37f93fe5279b; sec:e2654572b782d14382c800ecdba6fc9712570b511fd701d9808a6153acb71108</x:v>
      </x:c>
    </x:row>
    <x:row r="104">
      <x:c r="A104" s="18" t="str">
        <x:v>IncomeTaxExpenseBenefit</x:v>
      </x:c>
      <x:c r="B104" s="22" t="n">
        <x:v>9265</x:v>
      </x:c>
      <x:c r="C104" s="18" t="str">
        <x:v>2024-01-01</x:v>
      </x:c>
      <x:c r="D104" s="18" t="str">
        <x:v>2024-12-31</x:v>
      </x:c>
      <x:c r="E104" s="18" t="str">
        <x:v>https://www.sec.gov/Archives/edgar/data/1018724/000101872425000004/0001018724-25-000004-index.html; https://www.sec.gov/Archives/edgar/data/1018724/000101872426000004/0001018724-26-000004-index.html | sec:35184ff7af39ef081d1d4cfd968311db4b5c4d60f142f87ca41d9271456b63e3; sec:5f6b5d5cb5987e188097318e43c00e55a043eb026d6a08efb613ab41eb3ff51c</x:v>
      </x:c>
    </x:row>
    <x:row r="105">
      <x:c r="A105" s="18" t="str">
        <x:v>NetIncomeLoss</x:v>
      </x:c>
      <x:c r="B105" s="22" t="n">
        <x:v>59248</x:v>
      </x:c>
      <x:c r="C105" s="18" t="str">
        <x:v>2024-01-01</x:v>
      </x:c>
      <x:c r="D105" s="18" t="str">
        <x:v>2024-12-31</x:v>
      </x:c>
      <x:c r="E105" s="18" t="str">
        <x:v>https://www.sec.gov/Archives/edgar/data/1018724/000101872425000004/0001018724-25-000004-index.html; https://www.sec.gov/Archives/edgar/data/1018724/000101872426000004/0001018724-26-000004-index.html | sec:3614e42e22ebb58a3b1afbfc0120793a0dcf5f95d7e36158f8b91fadb46cd33f; sec:e059d468e473bcbb48f068429ab01ff92820082074e25d9a7a1d85167edd8809</x:v>
      </x:c>
    </x:row>
    <x:row r="106">
      <x:c r="A106" s="18" t="str">
        <x:v>DepreciationDepletionAndAmortization</x:v>
      </x:c>
      <x:c r="B106" s="22" t="n">
        <x:v>52795</x:v>
      </x:c>
      <x:c r="C106" s="18" t="str">
        <x:v>2024-01-01</x:v>
      </x:c>
      <x:c r="D106" s="18" t="str">
        <x:v>2024-12-31</x:v>
      </x:c>
      <x:c r="E106" s="18" t="str">
        <x:v>https://www.sec.gov/Archives/edgar/data/1018724/000101872425000004/0001018724-25-000004-index.html; https://www.sec.gov/Archives/edgar/data/1018724/000101872426000004/0001018724-26-000004-index.html | sec:66b73b98dbd1fcbaec5d698653819c070417df3cee570644a7b06b84d4a873f5; sec:e71e82487064c097e7c1577d34bdc1121faef19e8f8b83c4b1cd42a918f1bf06</x:v>
      </x:c>
    </x:row>
    <x:row r="107">
      <x:c r="A107" s="18" t="str">
        <x:v>NetCashProvidedByUsedInOperatingActivities</x:v>
      </x:c>
      <x:c r="B107" s="22" t="n">
        <x:v>115877</x:v>
      </x:c>
      <x:c r="C107" s="18" t="str">
        <x:v>2024-01-01</x:v>
      </x:c>
      <x:c r="D107" s="18" t="str">
        <x:v>2024-12-31</x:v>
      </x:c>
      <x:c r="E107" s="18" t="str">
        <x:v>https://www.sec.gov/Archives/edgar/data/1018724/000101872425000004/0001018724-25-000004-index.html; https://www.sec.gov/Archives/edgar/data/1018724/000101872426000004/0001018724-26-000004-index.html | sec:f5f52baf12116e97a5b7c5a96cc427c14c6df0dcda1495ea17c23f292cfdbc84; sec:33fc04c473f8239bf4123f62e4bbd6aa088849c3e9dda2162ef95321cdb2be0b</x:v>
      </x:c>
    </x:row>
    <x:row r="108">
      <x:c r="A108" s="18" t="str">
        <x:v>AssetsCurrent</x:v>
      </x:c>
      <x:c r="B108" s="22" t="n">
        <x:v>190867</x:v>
      </x:c>
      <x:c r="C108" s="18" t="str">
        <x:v>instant</x:v>
      </x:c>
      <x:c r="D108" s="18" t="str">
        <x:v>2024-12-31</x:v>
      </x:c>
      <x:c r="E108" s="18" t="str">
        <x:v>https://www.sec.gov/Archives/edgar/data/1018724/000101872425000086/0001018724-25-000086-index.html; https://www.sec.gov/Archives/edgar/data/1018724/000101872425000004/0001018724-25-000004-index.html; https://www.sec.gov/Archives/edgar/data/1018724/000101872426000004/0001018724-26-000004-index.html; https://www.sec.gov/Archives/edgar/data/1018724/000101872425000036/0001018724-25-000036-index.html; https://www.sec.gov/Archives/edgar/data/1018724/000101872425000123/0001018724-25-000123-index.html | sec:5180775278ebd517cb7d62877c631b70d4c732aaf1e3674f65cc31fbd86c4616; sec:5f1b402141ff578fe7ae10fd9e946c248c574bb80463280fdf77cb802b3bbba4; sec:b45aca348758bcc383e36e5b6ee3de2780ad65d70b471c4e853f07b17d958d39; sec:b01f9c2cf9e67e40544a670e06c817683ba65d0a6a5147dc0c833412664fceb9; sec:6d77debf6f05663bdd173f988084b6dce3c821326a6235f551e5fb87aa5eb079</x:v>
      </x:c>
    </x:row>
    <x:row r="109">
      <x:c r="A109" s="18" t="str">
        <x:v>LiabilitiesCurrent</x:v>
      </x:c>
      <x:c r="B109" s="22" t="n">
        <x:v>179431</x:v>
      </x:c>
      <x:c r="C109" s="18" t="str">
        <x:v>instant</x:v>
      </x:c>
      <x:c r="D109" s="18" t="str">
        <x:v>2024-12-31</x:v>
      </x:c>
      <x:c r="E109" s="18" t="str">
        <x:v>https://www.sec.gov/Archives/edgar/data/1018724/000101872425000086/0001018724-25-000086-index.html; https://www.sec.gov/Archives/edgar/data/1018724/000101872425000004/0001018724-25-000004-index.html; https://www.sec.gov/Archives/edgar/data/1018724/000101872426000004/0001018724-26-000004-index.html; https://www.sec.gov/Archives/edgar/data/1018724/000101872425000036/0001018724-25-000036-index.html; https://www.sec.gov/Archives/edgar/data/1018724/000101872425000123/0001018724-25-000123-index.html | sec:53c7fa97703335d97e15595e9024e9af2ecaae72fedbfccb54842eb62ed2a6df; sec:3bc8c98525efa98240d3627910b16c8bffca8f10f05a75b8193fcb53ea453f60; sec:0ba7e003586969231bd7c7f1c4df27bf418e449a92963aedfa9ee659fb955251; sec:fa0bc305585cf8bf0e31e72a95214d60914408c35c5e2180b65d5346d6f631b6; sec:99eff87712b42c7c66ff358af70eba6c74293180cf09c1163f22ac9652eb5041</x:v>
      </x:c>
    </x:row>
    <x:row r="110">
      <x:c r="A110" s="18" t="str">
        <x:v>Assets</x:v>
      </x:c>
      <x:c r="B110" s="22" t="n">
        <x:v>624894</x:v>
      </x:c>
      <x:c r="C110" s="18" t="str">
        <x:v>instant</x:v>
      </x:c>
      <x:c r="D110" s="18" t="str">
        <x:v>2024-12-31</x:v>
      </x:c>
      <x:c r="E110" s="18" t="str">
        <x:v>https://www.sec.gov/Archives/edgar/data/1018724/000101872425000086/0001018724-25-000086-index.html; https://www.sec.gov/Archives/edgar/data/1018724/000101872425000004/0001018724-25-000004-index.html; https://www.sec.gov/Archives/edgar/data/1018724/000101872426000004/0001018724-26-000004-index.html; https://www.sec.gov/Archives/edgar/data/1018724/000101872425000036/0001018724-25-000036-index.html; https://www.sec.gov/Archives/edgar/data/1018724/000101872425000123/0001018724-25-000123-index.html | sec:d5ce51c974673edd571ad24de1a9fc5a6148dfbd298d419110ec8ef9bba3ee1b; sec:6fc153eb849940c61c00e85d3f74481e4561b27aebb3327ff5277f86e8ac38aa; sec:e907f723e73be2167cdde769656d56e5a55a9217ee39bffa349900d10c68ee96; sec:a02b945fb3b9b82da4273b78bcb67b8ca59466e228e3d8d21b80d81fb4cdf55b; sec:aaaa12f98f7378e2de43376c2ce882bbf15d26d1b5ed9811eba1a76e9dc3f6d6</x:v>
      </x:c>
    </x:row>
    <x:row r="111">
      <x:c r="A111" s="18" t="str">
        <x:v>StockholdersEquity</x:v>
      </x:c>
      <x:c r="B111" s="22" t="n">
        <x:v>285970</x:v>
      </x:c>
      <x:c r="C111" s="18" t="str">
        <x:v>instant</x:v>
      </x:c>
      <x:c r="D111" s="18" t="str">
        <x:v>2024-12-31</x:v>
      </x:c>
      <x:c r="E111" s="18" t="str">
        <x:v>https://www.sec.gov/Archives/edgar/data/1018724/000101872425000086/0001018724-25-000086-index.html; https://www.sec.gov/Archives/edgar/data/1018724/000101872425000004/0001018724-25-000004-index.html; https://www.sec.gov/Archives/edgar/data/1018724/000101872426000004/0001018724-26-000004-index.html; https://www.sec.gov/Archives/edgar/data/1018724/000101872425000036/0001018724-25-000036-index.html; https://www.sec.gov/Archives/edgar/data/1018724/000101872425000123/0001018724-25-000123-index.html; https://www.sec.gov/Archives/edgar/data/1018724/000101872426000026/0001018724-26-000026-index.html; https://www.sec.gov/Archives/edgar/data/1018724/000101872426000014/0001018724-26-000014-index.html | sec:cfcf3eea1d014372545ce41cb406be61f4e07686d52f8ccb880f9f5c91e21716; sec:34fa11b80ec31c7c075ccdb449e736d835d129b59a73fc886098aa77ad772d9c; sec:e1c07d9d5e4cce9f275031195853b30b362aeca5fa178a94161b15f2756a9635; sec:80e8a3e2b235d594e8424c6423c5cee6ee6dffcf61fa036b71b31bff7d48a560; sec:91e9b7c46f52a4091500335ce06bb0132de29e369da179caf1c94de2c9fbbfa1; sec:23b283191095746281b607678ed0f76954880861867d99554be5470f8001d94d; sec:57942896c0bb03574f422733fee8a081ce27bce2f912c53a7642ed55f592f0ff</x:v>
      </x:c>
    </x:row>
    <x:row r="112">
      <x:c r="A112" s="18" t="str">
        <x:v>CashAndCashEquivalentsAtCarryingValue</x:v>
      </x:c>
      <x:c r="B112" s="22" t="n">
        <x:v>78779</x:v>
      </x:c>
      <x:c r="C112" s="18" t="str">
        <x:v>instant</x:v>
      </x:c>
      <x:c r="D112" s="18" t="str">
        <x:v>2024-12-31</x:v>
      </x:c>
      <x:c r="E112" s="18" t="str">
        <x:v>https://www.sec.gov/Archives/edgar/data/1018724/000101872425000086/0001018724-25-000086-index.html; https://www.sec.gov/Archives/edgar/data/1018724/000101872425000004/0001018724-25-000004-index.html; https://www.sec.gov/Archives/edgar/data/1018724/000101872426000004/0001018724-26-000004-index.html; https://www.sec.gov/Archives/edgar/data/1018724/000101872425000036/0001018724-25-000036-index.html; https://www.sec.gov/Archives/edgar/data/1018724/000101872425000123/0001018724-25-000123-index.html | sec:8dc5a5df72c492c865a5469da64ed51283de7316579fde248571533c4ac1a9fe; sec:5c36e4b672f61dad0902267c6e7fbf33de6aed6e988aa27f1e6397ba445a0845; sec:091dbd974bea230d308ed0e96ab2b8a27fdceafabbdb47dabd7e7bb04d65fad3; sec:56d73a5c10077de4d8f5aa3e1f2be056ca5745acdcbaf803df4327bf1aa4fb40; sec:9d71867b1b0c3675e4bb0cc3df17df09f7a4966363abb8e58b43a08e736b4059</x:v>
      </x:c>
    </x:row>
    <x:row r="113">
      <x:c r="A113" s="18" t="str">
        <x:v>RevenueFromContractWithCustomerExcludingAssessedTax</x:v>
      </x:c>
      <x:c r="B113" s="22" t="n">
        <x:v>155667</x:v>
      </x:c>
      <x:c r="C113" s="18" t="str">
        <x:v>2025-01-01</x:v>
      </x:c>
      <x:c r="D113" s="18" t="str">
        <x:v>2025-03-31</x:v>
      </x:c>
      <x:c r="E113" s="18" t="str">
        <x:v>https://www.sec.gov/Archives/edgar/data/1018724/000101872425000036/0001018724-25-000036-index.html; https://www.sec.gov/Archives/edgar/data/1018724/000101872426000014/0001018724-26-000014-index.html | sec:daaf780d78b3328a0efadaa7b9003f5509c741ede7744214b4ded1bedcf4a53d; sec:62e47c853b354d1633a267500647797ce730d4495824b4099fb47dd17407d965</x:v>
      </x:c>
    </x:row>
    <x:row r="114">
      <x:c r="A114" s="18" t="str">
        <x:v>CostOfGoodsAndServicesSold</x:v>
      </x:c>
      <x:c r="B114" s="22" t="n">
        <x:v>76976</x:v>
      </x:c>
      <x:c r="C114" s="18" t="str">
        <x:v>2025-01-01</x:v>
      </x:c>
      <x:c r="D114" s="18" t="str">
        <x:v>2025-03-31</x:v>
      </x:c>
      <x:c r="E114" s="18" t="str">
        <x:v>https://www.sec.gov/Archives/edgar/data/1018724/000101872425000036/0001018724-25-000036-index.html; https://www.sec.gov/Archives/edgar/data/1018724/000101872426000014/0001018724-26-000014-index.html | sec:256b3c4d64091db5f478fe5020d17960826420fd7a74042040e209bedf64a51f; sec:ea8af140f5e12007fc85690ee73cdd90256956b979ba17355e6fdc4bcb4bd5f7</x:v>
      </x:c>
    </x:row>
    <x:row r="115">
      <x:c r="A115" s="18" t="str">
        <x:v>OperatingIncomeLoss</x:v>
      </x:c>
      <x:c r="B115" s="22" t="n">
        <x:v>18405</x:v>
      </x:c>
      <x:c r="C115" s="18" t="str">
        <x:v>2025-01-01</x:v>
      </x:c>
      <x:c r="D115" s="18" t="str">
        <x:v>2025-03-31</x:v>
      </x:c>
      <x:c r="E115" s="18" t="str">
        <x:v>https://www.sec.gov/Archives/edgar/data/1018724/000101872425000036/0001018724-25-000036-index.html; https://www.sec.gov/Archives/edgar/data/1018724/000101872426000014/0001018724-26-000014-index.html | sec:1f5b70f4f50f2fc727b4ba51e649c2a718078c04dfa596eab4ffd6cbff3b82ea; sec:daedb7df2dc57a03c51da03d37522d3ae297a1913cab72098c22a00be6f4be5a</x:v>
      </x:c>
    </x:row>
    <x:row r="116">
      <x:c r="A116" s="18" t="str">
        <x:v>InterestExpenseNonoperating</x:v>
      </x:c>
      <x:c r="B116" s="22" t="n">
        <x:v>541</x:v>
      </x:c>
      <x:c r="C116" s="18" t="str">
        <x:v>2025-01-01</x:v>
      </x:c>
      <x:c r="D116" s="18" t="str">
        <x:v>2025-03-31</x:v>
      </x:c>
      <x:c r="E116" s="18" t="str">
        <x:v>https://www.sec.gov/Archives/edgar/data/1018724/000101872425000036/0001018724-25-000036-index.html; https://www.sec.gov/Archives/edgar/data/1018724/000101872426000014/0001018724-26-000014-index.html | sec:f200af11895f8a68213969e5b5566b8b4974e8d5c387dec002fc04a9c764e357; sec:da6c541a651e66b4f6ef06778880b79d7d22dc07bcc60932387c7f50780c22cd</x:v>
      </x:c>
    </x:row>
    <x:row r="117">
      <x:c r="A117" s="18" t="str">
        <x:v>IncomeTaxExpenseBenefit</x:v>
      </x:c>
      <x:c r="B117" s="22" t="n">
        <x:v>4553</x:v>
      </x:c>
      <x:c r="C117" s="18" t="str">
        <x:v>2025-01-01</x:v>
      </x:c>
      <x:c r="D117" s="18" t="str">
        <x:v>2025-03-31</x:v>
      </x:c>
      <x:c r="E117" s="18" t="str">
        <x:v>https://www.sec.gov/Archives/edgar/data/1018724/000101872425000036/0001018724-25-000036-index.html; https://www.sec.gov/Archives/edgar/data/1018724/000101872426000014/0001018724-26-000014-index.html | sec:ee72f0f6011f5422f14f41d64d0ce807e71a830934dbdcfc62f2c0f18d87bbd3; sec:6a151b8de867a762febf5c644856d4829ee969e55dce073da7e1b14f9d90e9dd</x:v>
      </x:c>
    </x:row>
    <x:row r="118">
      <x:c r="A118" s="18" t="str">
        <x:v>NetIncomeLoss</x:v>
      </x:c>
      <x:c r="B118" s="22" t="n">
        <x:v>17127</x:v>
      </x:c>
      <x:c r="C118" s="18" t="str">
        <x:v>2025-01-01</x:v>
      </x:c>
      <x:c r="D118" s="18" t="str">
        <x:v>2025-03-31</x:v>
      </x:c>
      <x:c r="E118" s="18" t="str">
        <x:v>https://www.sec.gov/Archives/edgar/data/1018724/000101872425000036/0001018724-25-000036-index.html; https://www.sec.gov/Archives/edgar/data/1018724/000101872426000014/0001018724-26-000014-index.html | sec:cb1ea7c69b4cbda6280d85dce9c405285e51f3ca4814653a44d4cad08649eabe; sec:f663f445283b4eff7d4c817bcdfad97d5c98f5cc8dc039e962d1941fdf80b1ad</x:v>
      </x:c>
    </x:row>
    <x:row r="119">
      <x:c r="A119" s="18" t="str">
        <x:v>DepreciationDepletionAndAmortization</x:v>
      </x:c>
      <x:c r="B119" s="22" t="n">
        <x:v>14262</x:v>
      </x:c>
      <x:c r="C119" s="18" t="str">
        <x:v>2025-01-01</x:v>
      </x:c>
      <x:c r="D119" s="18" t="str">
        <x:v>2025-03-31</x:v>
      </x:c>
      <x:c r="E119" s="18" t="str">
        <x:v>https://www.sec.gov/Archives/edgar/data/1018724/000101872425000036/0001018724-25-000036-index.html; https://www.sec.gov/Archives/edgar/data/1018724/000101872426000014/0001018724-26-000014-index.html | sec:c388129de56737780c6fab09575c17bc15edf6e8435ef0b07a211858f2891237; sec:ba8078f3e6c1e90bfd4492b62665607771fd1f14ec300654c67be1762515a6c1</x:v>
      </x:c>
    </x:row>
    <x:row r="120">
      <x:c r="A120" s="18" t="str">
        <x:v>NetCashProvidedByUsedInOperatingActivities</x:v>
      </x:c>
      <x:c r="B120" s="22" t="n">
        <x:v>17015</x:v>
      </x:c>
      <x:c r="C120" s="18" t="str">
        <x:v>2025-01-01</x:v>
      </x:c>
      <x:c r="D120" s="18" t="str">
        <x:v>2025-03-31</x:v>
      </x:c>
      <x:c r="E120" s="18" t="str">
        <x:v>https://www.sec.gov/Archives/edgar/data/1018724/000101872425000036/0001018724-25-000036-index.html; https://www.sec.gov/Archives/edgar/data/1018724/000101872426000014/0001018724-26-000014-index.html | sec:cd4d70c5687caadc02fe6351a2c37fc77c4b604636e3b5b61c4ae30403af4c0f; sec:c299994c684f85bca78b7638942002c934004368434a36e9914240527ae3e603</x:v>
      </x:c>
    </x:row>
    <x:row r="121">
      <x:c r="A121" s="18" t="str">
        <x:v>AssetsCurrent</x:v>
      </x:c>
      <x:c r="B121" s="22" t="n">
        <x:v>184645</x:v>
      </x:c>
      <x:c r="C121" s="18" t="str">
        <x:v>instant</x:v>
      </x:c>
      <x:c r="D121" s="18" t="str">
        <x:v>2025-03-31</x:v>
      </x:c>
      <x:c r="E121" s="18" t="str">
        <x:v>https://www.sec.gov/Archives/edgar/data/1018724/000101872425000036/0001018724-25-000036-index.html | sec:da303d939a7a12ec2ccf7c9243498bf48b327ee837d2f5c2a6aa75be71230281</x:v>
      </x:c>
    </x:row>
    <x:row r="122">
      <x:c r="A122" s="18" t="str">
        <x:v>LiabilitiesCurrent</x:v>
      </x:c>
      <x:c r="B122" s="22" t="n">
        <x:v>176171</x:v>
      </x:c>
      <x:c r="C122" s="18" t="str">
        <x:v>instant</x:v>
      </x:c>
      <x:c r="D122" s="18" t="str">
        <x:v>2025-03-31</x:v>
      </x:c>
      <x:c r="E122" s="18" t="str">
        <x:v>https://www.sec.gov/Archives/edgar/data/1018724/000101872425000036/0001018724-25-000036-index.html | sec:45456e344955d2a6f2db31a179a5be036f78125f48893b093a9c8c04ac34862a</x:v>
      </x:c>
    </x:row>
    <x:row r="123">
      <x:c r="A123" s="18" t="str">
        <x:v>Assets</x:v>
      </x:c>
      <x:c r="B123" s="22" t="n">
        <x:v>643256</x:v>
      </x:c>
      <x:c r="C123" s="18" t="str">
        <x:v>instant</x:v>
      </x:c>
      <x:c r="D123" s="18" t="str">
        <x:v>2025-03-31</x:v>
      </x:c>
      <x:c r="E123" s="18" t="str">
        <x:v>https://www.sec.gov/Archives/edgar/data/1018724/000101872425000036/0001018724-25-000036-index.html | sec:68487a1ef827f02e7ddba8739c6a92930313de0b11510a45156fc75ab3182e49</x:v>
      </x:c>
    </x:row>
    <x:row r="124">
      <x:c r="A124" s="18" t="str">
        <x:v>StockholdersEquity</x:v>
      </x:c>
      <x:c r="B124" s="22" t="n">
        <x:v>305867</x:v>
      </x:c>
      <x:c r="C124" s="18" t="str">
        <x:v>instant</x:v>
      </x:c>
      <x:c r="D124" s="18" t="str">
        <x:v>2025-03-31</x:v>
      </x:c>
      <x:c r="E124" s="18" t="str">
        <x:v>https://www.sec.gov/Archives/edgar/data/1018724/000101872425000086/0001018724-25-000086-index.html; https://www.sec.gov/Archives/edgar/data/1018724/000101872426000026/0001018724-26-000026-index.html; https://www.sec.gov/Archives/edgar/data/1018724/000101872425000036/0001018724-25-000036-index.html; https://www.sec.gov/Archives/edgar/data/1018724/000101872426000014/0001018724-26-000014-index.html | sec:6dcea22d3101bfd96cf513afb4a9ff1cf8db44b904324a46dac4a26b09b17030; sec:cd2992867727cba8070bc75bf1a0be270bec34fcd44c5ec3fa28604ceae4d7c2; sec:a23ad8b5440ae2cb495dcf2811c24031b84f3c1dff78d6ede42683359e6602a4; sec:00fe489e32081572bf13778cd8236cae10a83ee29b5cb596aefaea3f091993a7</x:v>
      </x:c>
    </x:row>
    <x:row r="125">
      <x:c r="A125" s="18" t="str">
        <x:v>CashAndCashEquivalentsAtCarryingValue</x:v>
      </x:c>
      <x:c r="B125" s="22" t="n">
        <x:v>66207</x:v>
      </x:c>
      <x:c r="C125" s="18" t="str">
        <x:v>instant</x:v>
      </x:c>
      <x:c r="D125" s="18" t="str">
        <x:v>2025-03-31</x:v>
      </x:c>
      <x:c r="E125" s="18" t="str">
        <x:v>https://www.sec.gov/Archives/edgar/data/1018724/000101872425000036/0001018724-25-000036-index.html | sec:0db0b4650cc0548cb97152c9444ac6da67e6a41b7ee255a8d62c4d85e16cc879</x:v>
      </x:c>
    </x:row>
    <x:row r="126">
      <x:c r="A126" s="18" t="str">
        <x:v>RevenueFromContractWithCustomerExcludingAssessedTax</x:v>
      </x:c>
      <x:c r="B126" s="22" t="n">
        <x:v>143313</x:v>
      </x:c>
      <x:c r="C126" s="18" t="str">
        <x:v>2024-01-01</x:v>
      </x:c>
      <x:c r="D126" s="18" t="str">
        <x:v>2024-03-31</x:v>
      </x:c>
      <x:c r="E126" s="18" t="str">
        <x:v>https://www.sec.gov/Archives/edgar/data/1018724/000101872424000083/0001018724-24-000083-index.html; https://www.sec.gov/Archives/edgar/data/1018724/000101872425000036/0001018724-25-000036-index.html | sec:20857123756b63e050d74ab8bf34cec753ad79e744f023ea08e3934ee4e7e685; sec:3d62c6fc1caab9d14ef32536868d9c1d0711338f7e46f4fae183427b0be5ac0f</x:v>
      </x:c>
    </x:row>
    <x:row r="127">
      <x:c r="A127" s="18" t="str">
        <x:v>CostOfGoodsAndServicesSold</x:v>
      </x:c>
      <x:c r="B127" s="22" t="n">
        <x:v>72633</x:v>
      </x:c>
      <x:c r="C127" s="18" t="str">
        <x:v>2024-01-01</x:v>
      </x:c>
      <x:c r="D127" s="18" t="str">
        <x:v>2024-03-31</x:v>
      </x:c>
      <x:c r="E127" s="18" t="str">
        <x:v>https://www.sec.gov/Archives/edgar/data/1018724/000101872424000083/0001018724-24-000083-index.html; https://www.sec.gov/Archives/edgar/data/1018724/000101872425000036/0001018724-25-000036-index.html | sec:ecb0342b6942e7e23f4d01376a38d8a874da2770c9b1deecf0ad465ce0db2980; sec:4d9fdca8744917465d6c9e61c12f7f34869bd11e217db65f84b50589f842a8fb</x:v>
      </x:c>
    </x:row>
    <x:row r="128">
      <x:c r="A128" s="18" t="str">
        <x:v>OperatingIncomeLoss</x:v>
      </x:c>
      <x:c r="B128" s="22" t="n">
        <x:v>15307</x:v>
      </x:c>
      <x:c r="C128" s="18" t="str">
        <x:v>2024-01-01</x:v>
      </x:c>
      <x:c r="D128" s="18" t="str">
        <x:v>2024-03-31</x:v>
      </x:c>
      <x:c r="E128" s="18" t="str">
        <x:v>https://www.sec.gov/Archives/edgar/data/1018724/000101872424000083/0001018724-24-000083-index.html; https://www.sec.gov/Archives/edgar/data/1018724/000101872425000036/0001018724-25-000036-index.html | sec:9a9c0c5dfbd57086c8bcf4133595dfcd9a08bfac24d15a9a74448de14343f359; sec:49794306a546133a58cb310d5e13b1eb58c9b9b128531364820715281fe88dbe</x:v>
      </x:c>
    </x:row>
    <x:row r="129">
      <x:c r="A129" s="18" t="str">
        <x:v>InterestExpenseNonoperating</x:v>
      </x:c>
      <x:c r="B129" s="22" t="n">
        <x:v>644</x:v>
      </x:c>
      <x:c r="C129" s="18" t="str">
        <x:v>2024-01-01</x:v>
      </x:c>
      <x:c r="D129" s="18" t="str">
        <x:v>2024-03-31</x:v>
      </x:c>
      <x:c r="E129" s="18" t="str">
        <x:v>https://www.sec.gov/Archives/edgar/data/1018724/000101872425000036/0001018724-25-000036-index.html | sec:cec253d769f34b22e045a8b226c80289efc07a0a2b283f7bdabe7cfa95662f6b</x:v>
      </x:c>
    </x:row>
    <x:row r="130">
      <x:c r="A130" s="18" t="str">
        <x:v>IncomeTaxExpenseBenefit</x:v>
      </x:c>
      <x:c r="B130" s="22" t="n">
        <x:v>2467</x:v>
      </x:c>
      <x:c r="C130" s="18" t="str">
        <x:v>2024-01-01</x:v>
      </x:c>
      <x:c r="D130" s="18" t="str">
        <x:v>2024-03-31</x:v>
      </x:c>
      <x:c r="E130" s="18" t="str">
        <x:v>https://www.sec.gov/Archives/edgar/data/1018724/000101872424000083/0001018724-24-000083-index.html; https://www.sec.gov/Archives/edgar/data/1018724/000101872425000036/0001018724-25-000036-index.html | sec:6587018119db5e07ea519ed72044befa98c8c877a51bb063717ab662c070b250; sec:622ed8c9cfc94469154307c58aaa9729b9dfc186d877083a4fe89491f49e11fd</x:v>
      </x:c>
    </x:row>
    <x:row r="131">
      <x:c r="A131" s="18" t="str">
        <x:v>NetIncomeLoss</x:v>
      </x:c>
      <x:c r="B131" s="22" t="n">
        <x:v>10431</x:v>
      </x:c>
      <x:c r="C131" s="18" t="str">
        <x:v>2024-01-01</x:v>
      </x:c>
      <x:c r="D131" s="18" t="str">
        <x:v>2024-03-31</x:v>
      </x:c>
      <x:c r="E131" s="18" t="str">
        <x:v>https://www.sec.gov/Archives/edgar/data/1018724/000101872424000083/0001018724-24-000083-index.html; https://www.sec.gov/Archives/edgar/data/1018724/000101872425000036/0001018724-25-000036-index.html | sec:1f0000bb9fd19b0b4f4cdd5d883e00abecb7677961259b0e814383f3003a0fce; sec:654eaae06d7f5d29a4ebc3cdeb8fca0f260ecd6a46a7fde50d9285b43bc914cd</x:v>
      </x:c>
    </x:row>
    <x:row r="132">
      <x:c r="A132" s="18" t="str">
        <x:v>DepreciationDepletionAndAmortization</x:v>
      </x:c>
      <x:c r="B132" s="22" t="n">
        <x:v>11684</x:v>
      </x:c>
      <x:c r="C132" s="18" t="str">
        <x:v>2024-01-01</x:v>
      </x:c>
      <x:c r="D132" s="18" t="str">
        <x:v>2024-03-31</x:v>
      </x:c>
      <x:c r="E132" s="18" t="str">
        <x:v>https://www.sec.gov/Archives/edgar/data/1018724/000101872424000083/0001018724-24-000083-index.html; https://www.sec.gov/Archives/edgar/data/1018724/000101872425000036/0001018724-25-000036-index.html | sec:50ad681c258b7a87c37b2071fc36b41e27510321584138e53fa4ce06cc32c32f; sec:e98480b661107a0ceabf1b97bf26fb987f074b786e1938386ef38e4054b1938f</x:v>
      </x:c>
    </x:row>
    <x:row r="133">
      <x:c r="A133" s="18" t="str">
        <x:v>NetCashProvidedByUsedInOperatingActivities</x:v>
      </x:c>
      <x:c r="B133" s="22" t="n">
        <x:v>18989</x:v>
      </x:c>
      <x:c r="C133" s="18" t="str">
        <x:v>2024-01-01</x:v>
      </x:c>
      <x:c r="D133" s="18" t="str">
        <x:v>2024-03-31</x:v>
      </x:c>
      <x:c r="E133" s="18" t="str">
        <x:v>https://www.sec.gov/Archives/edgar/data/1018724/000101872424000083/0001018724-24-000083-index.html; https://www.sec.gov/Archives/edgar/data/1018724/000101872425000036/0001018724-25-000036-index.html | sec:9a0a695c09aeba5fb9a61cd1d5e378cede674264b519cdc76619c281afea9a92; sec:143286cf07db1ac3d0176242e9c75c4436b3c09fd765355fa66e9ec3de9cb00d</x:v>
      </x:c>
    </x:row>
    <x:row r="134">
      <x:c r="A134" s="18" t="str">
        <x:v>RevenueFromContractWithCustomerExcludingAssessedTax</x:v>
      </x:c>
      <x:c r="B134" s="22" t="n">
        <x:v>716924</x:v>
      </x:c>
      <x:c r="C134" s="18" t="str">
        <x:v>2025-01-01</x:v>
      </x:c>
      <x:c r="D134" s="18" t="str">
        <x:v>2025-12-31</x:v>
      </x:c>
      <x:c r="E134" s="18" t="str">
        <x:v>https://www.sec.gov/Archives/edgar/data/1018724/000101872426000004/0001018724-26-000004-index.html | sec:12dab852b4d9e68f0f51d680497193f9b3451df2d2bfd0a064f1d8be192845d5</x:v>
      </x:c>
    </x:row>
    <x:row r="135">
      <x:c r="A135" s="18" t="str">
        <x:v>CostOfGoodsAndServicesSold</x:v>
      </x:c>
      <x:c r="B135" s="22" t="n">
        <x:v>356414</x:v>
      </x:c>
      <x:c r="C135" s="18" t="str">
        <x:v>2025-01-01</x:v>
      </x:c>
      <x:c r="D135" s="18" t="str">
        <x:v>2025-12-31</x:v>
      </x:c>
      <x:c r="E135" s="18" t="str">
        <x:v>https://www.sec.gov/Archives/edgar/data/1018724/000101872426000004/0001018724-26-000004-index.html | sec:8cf5b66753487275ec182f6b97a5a602ceb260ac30eb952498939db694ee5570</x:v>
      </x:c>
    </x:row>
    <x:row r="136">
      <x:c r="A136" s="18" t="str">
        <x:v>OperatingIncomeLoss</x:v>
      </x:c>
      <x:c r="B136" s="22" t="n">
        <x:v>79975</x:v>
      </x:c>
      <x:c r="C136" s="18" t="str">
        <x:v>2025-01-01</x:v>
      </x:c>
      <x:c r="D136" s="18" t="str">
        <x:v>2025-12-31</x:v>
      </x:c>
      <x:c r="E136" s="18" t="str">
        <x:v>https://www.sec.gov/Archives/edgar/data/1018724/000101872426000004/0001018724-26-000004-index.html | sec:54005999cf071ef68759efdece6a1420e882861403566922cc73407effa12266</x:v>
      </x:c>
    </x:row>
    <x:row r="137">
      <x:c r="A137" s="18" t="str">
        <x:v>InterestExpenseNonoperating</x:v>
      </x:c>
      <x:c r="B137" s="22" t="n">
        <x:v>2274</x:v>
      </x:c>
      <x:c r="C137" s="18" t="str">
        <x:v>2025-01-01</x:v>
      </x:c>
      <x:c r="D137" s="18" t="str">
        <x:v>2025-12-31</x:v>
      </x:c>
      <x:c r="E137" s="18" t="str">
        <x:v>https://www.sec.gov/Archives/edgar/data/1018724/000101872426000004/0001018724-26-000004-index.html | sec:e21904d8f2d5235bf48810b4d30132c3c3d00c06e955b9f2dcbb54bac0b50bb6</x:v>
      </x:c>
    </x:row>
    <x:row r="138">
      <x:c r="A138" s="18" t="str">
        <x:v>IncomeTaxExpenseBenefit</x:v>
      </x:c>
      <x:c r="B138" s="22" t="n">
        <x:v>19087</x:v>
      </x:c>
      <x:c r="C138" s="18" t="str">
        <x:v>2025-01-01</x:v>
      </x:c>
      <x:c r="D138" s="18" t="str">
        <x:v>2025-12-31</x:v>
      </x:c>
      <x:c r="E138" s="18" t="str">
        <x:v>https://www.sec.gov/Archives/edgar/data/1018724/000101872426000004/0001018724-26-000004-index.html | sec:79f27d8b57b25c8d5adec1e51e370488fa206c6f356178c6b1d46007611c08ef</x:v>
      </x:c>
    </x:row>
    <x:row r="139">
      <x:c r="A139" s="18" t="str">
        <x:v>NetIncomeLoss</x:v>
      </x:c>
      <x:c r="B139" s="22" t="n">
        <x:v>77670</x:v>
      </x:c>
      <x:c r="C139" s="18" t="str">
        <x:v>2025-01-01</x:v>
      </x:c>
      <x:c r="D139" s="18" t="str">
        <x:v>2025-12-31</x:v>
      </x:c>
      <x:c r="E139" s="18" t="str">
        <x:v>https://www.sec.gov/Archives/edgar/data/1018724/000101872426000004/0001018724-26-000004-index.html | sec:5f8fef4a6b883f003e7e98e382eeea8f3ffdb4b00e1026d7ca3d4e71bd74bde4</x:v>
      </x:c>
    </x:row>
    <x:row r="140">
      <x:c r="A140" s="18" t="str">
        <x:v>DepreciationDepletionAndAmortization</x:v>
      </x:c>
      <x:c r="B140" s="22" t="n">
        <x:v>65756</x:v>
      </x:c>
      <x:c r="C140" s="18" t="str">
        <x:v>2025-01-01</x:v>
      </x:c>
      <x:c r="D140" s="18" t="str">
        <x:v>2025-12-31</x:v>
      </x:c>
      <x:c r="E140" s="18" t="str">
        <x:v>https://www.sec.gov/Archives/edgar/data/1018724/000101872426000004/0001018724-26-000004-index.html | sec:5d9bb3c4fc4d69f7eb7996aab74fb5a3d3bcf1dc5a2bfec2f0a9e23069f3f346</x:v>
      </x:c>
    </x:row>
    <x:row r="141">
      <x:c r="A141" s="18" t="str">
        <x:v>NetCashProvidedByUsedInOperatingActivities</x:v>
      </x:c>
      <x:c r="B141" s="22" t="n">
        <x:v>139514</x:v>
      </x:c>
      <x:c r="C141" s="18" t="str">
        <x:v>2025-01-01</x:v>
      </x:c>
      <x:c r="D141" s="18" t="str">
        <x:v>2025-12-31</x:v>
      </x:c>
      <x:c r="E141" s="18" t="str">
        <x:v>https://www.sec.gov/Archives/edgar/data/1018724/000101872426000004/0001018724-26-000004-index.html | sec:63450b4ee1ddebc2b2373b3c22b418c5e11cf9ba0c6810db5cceaea7402bcf78</x:v>
      </x:c>
    </x:row>
    <x:row r="142">
      <x:c r="A142" s="18" t="str">
        <x:v>AssetsCurrent</x:v>
      </x:c>
      <x:c r="B142" s="22" t="n">
        <x:v>229083</x:v>
      </x:c>
      <x:c r="C142" s="18" t="str">
        <x:v>instant</x:v>
      </x:c>
      <x:c r="D142" s="18" t="str">
        <x:v>2025-12-31</x:v>
      </x:c>
      <x:c r="E142" s="18" t="str">
        <x:v>https://www.sec.gov/Archives/edgar/data/1018724/000101872426000026/0001018724-26-000026-index.html; https://www.sec.gov/Archives/edgar/data/1018724/000101872426000004/0001018724-26-000004-index.html; https://www.sec.gov/Archives/edgar/data/1018724/000101872426000014/0001018724-26-000014-index.html | sec:2bb797c06fff834f57df354a8031edfad062a6d6e1366d18a2108fbb2e96ad35; sec:d3bf8440ab754d58516705a27ff37b73f713419c6e193983c72fd84d944ef8ee; sec:69b1d3eb672c7afbba8d8da07bbc47fea70a296968d840e1468527027709b573</x:v>
      </x:c>
    </x:row>
    <x:row r="143">
      <x:c r="A143" s="18" t="str">
        <x:v>LiabilitiesCurrent</x:v>
      </x:c>
      <x:c r="B143" s="22" t="n">
        <x:v>218005</x:v>
      </x:c>
      <x:c r="C143" s="18" t="str">
        <x:v>instant</x:v>
      </x:c>
      <x:c r="D143" s="18" t="str">
        <x:v>2025-12-31</x:v>
      </x:c>
      <x:c r="E143" s="18" t="str">
        <x:v>https://www.sec.gov/Archives/edgar/data/1018724/000101872426000026/0001018724-26-000026-index.html; https://www.sec.gov/Archives/edgar/data/1018724/000101872426000004/0001018724-26-000004-index.html; https://www.sec.gov/Archives/edgar/data/1018724/000101872426000014/0001018724-26-000014-index.html | sec:ed8ac305e5c7a1dc3cb80941d7de34fa6ea6416a53df36d85df7fa0320193051; sec:bc9bb3338134418c600f3d1d2a9603ec4d279b96f43fa253197f996936c77627; sec:4419692ea9571c1b96c487e953352dd81440b645d3f0a37f8f6d9adc9fbbdd14</x:v>
      </x:c>
    </x:row>
    <x:row r="144">
      <x:c r="A144" s="18" t="str">
        <x:v>Assets</x:v>
      </x:c>
      <x:c r="B144" s="22" t="n">
        <x:v>818042</x:v>
      </x:c>
      <x:c r="C144" s="18" t="str">
        <x:v>instant</x:v>
      </x:c>
      <x:c r="D144" s="18" t="str">
        <x:v>2025-12-31</x:v>
      </x:c>
      <x:c r="E144" s="18" t="str">
        <x:v>https://www.sec.gov/Archives/edgar/data/1018724/000101872426000026/0001018724-26-000026-index.html; https://www.sec.gov/Archives/edgar/data/1018724/000101872426000004/0001018724-26-000004-index.html; https://www.sec.gov/Archives/edgar/data/1018724/000101872426000014/0001018724-26-000014-index.html | sec:16724d18530f10bcb58dc3a0405f5cb7790bf7d51a944c297af241402ae532e1; sec:be0b9c13cd707af1204aa33056b8e6d83f5bfbadab13e15ca41471274acf3cc6; sec:e38b12123b992353d6d36bf1fe6c9b3f4fb65a2c6da2b82bbfd3adabebf82f2f</x:v>
      </x:c>
    </x:row>
    <x:row r="145">
      <x:c r="A145" s="18" t="str">
        <x:v>StockholdersEquity</x:v>
      </x:c>
      <x:c r="B145" s="22" t="n">
        <x:v>411065</x:v>
      </x:c>
      <x:c r="C145" s="18" t="str">
        <x:v>instant</x:v>
      </x:c>
      <x:c r="D145" s="18" t="str">
        <x:v>2025-12-31</x:v>
      </x:c>
      <x:c r="E145" s="18" t="str">
        <x:v>https://www.sec.gov/Archives/edgar/data/1018724/000101872426000026/0001018724-26-000026-index.html; https://www.sec.gov/Archives/edgar/data/1018724/000101872426000004/0001018724-26-000004-index.html; https://www.sec.gov/Archives/edgar/data/1018724/000101872426000014/0001018724-26-000014-index.html | sec:78e407868cd4f1503ec84a1fbc490814df5e1b969844a54622f6e7f45d3ab799; sec:5d400b539de743fed1cdf452a3fd6a7f04a50abd166342337b2cee9fc1a7c9de; sec:9bdf3f9819f845be1fc2c67a0bcb8811a98586a41fba8e33bf3072fd8f843189</x:v>
      </x:c>
    </x:row>
    <x:row r="146">
      <x:c r="A146" s="18" t="str">
        <x:v>CashAndCashEquivalentsAtCarryingValue</x:v>
      </x:c>
      <x:c r="B146" s="22" t="n">
        <x:v>86810</x:v>
      </x:c>
      <x:c r="C146" s="18" t="str">
        <x:v>instant</x:v>
      </x:c>
      <x:c r="D146" s="18" t="str">
        <x:v>2025-12-31</x:v>
      </x:c>
      <x:c r="E146" s="18" t="str">
        <x:v>https://www.sec.gov/Archives/edgar/data/1018724/000101872426000026/0001018724-26-000026-index.html; https://www.sec.gov/Archives/edgar/data/1018724/000101872426000004/0001018724-26-000004-index.html; https://www.sec.gov/Archives/edgar/data/1018724/000101872426000014/0001018724-26-000014-index.html | sec:e7f162bf3cc861a87f544909764880943e85b64cb617ab0ad3b2770b538dc8e2; sec:805e60746dbac795343c0fa5e903e84d239b201ff86cef339a6db538bb62a782; sec:7f336ffa4004328cf991be635afdb5f29fe19123534ffc93d9e6e2d464378ee9</x:v>
      </x:c>
    </x:row>
    <x:row r="147">
      <x:c r="A147" s="18" t="str">
        <x:v>RevenueFromContractWithCustomerExcludingAssessedTax</x:v>
      </x:c>
      <x:c r="B147" s="22" t="n">
        <x:v>382125</x:v>
      </x:c>
      <x:c r="C147" s="18" t="str">
        <x:v>2026-01-01</x:v>
      </x:c>
      <x:c r="D147" s="18" t="str">
        <x:v>2026-06-30</x:v>
      </x:c>
      <x:c r="E147" s="18" t="str">
        <x:v>https://www.sec.gov/Archives/edgar/data/1018724/000101872426000026/0001018724-26-000026-index.html | sec:e708ac347db35c1c2e2e83222d9468b9f8e17204b9322aa23bfedd97a0e6195e</x:v>
      </x:c>
    </x:row>
    <x:row r="148">
      <x:c r="A148" s="18" t="str">
        <x:v>CostOfGoodsAndServicesSold</x:v>
      </x:c>
      <x:c r="B148" s="22" t="n">
        <x:v>183241</x:v>
      </x:c>
      <x:c r="C148" s="18" t="str">
        <x:v>2026-01-01</x:v>
      </x:c>
      <x:c r="D148" s="18" t="str">
        <x:v>2026-06-30</x:v>
      </x:c>
      <x:c r="E148" s="18" t="str">
        <x:v>https://www.sec.gov/Archives/edgar/data/1018724/000101872426000026/0001018724-26-000026-index.html | sec:8c3f25a723bc00022f92e68317bea57c209649ddf1905487d9c3c09c597ceb28</x:v>
      </x:c>
    </x:row>
    <x:row r="149">
      <x:c r="A149" s="18" t="str">
        <x:v>OperatingIncomeLoss</x:v>
      </x:c>
      <x:c r="B149" s="22" t="n">
        <x:v>51313</x:v>
      </x:c>
      <x:c r="C149" s="18" t="str">
        <x:v>2026-01-01</x:v>
      </x:c>
      <x:c r="D149" s="18" t="str">
        <x:v>2026-06-30</x:v>
      </x:c>
      <x:c r="E149" s="18" t="str">
        <x:v>https://www.sec.gov/Archives/edgar/data/1018724/000101872426000026/0001018724-26-000026-index.html | sec:878230503a879a8b795185717661c50da95402b0e45edba086c4aa41136af03a</x:v>
      </x:c>
    </x:row>
    <x:row r="150">
      <x:c r="A150" s="18" t="str">
        <x:v>InterestExpenseNonoperating</x:v>
      </x:c>
      <x:c r="B150" s="22" t="n">
        <x:v>2114</x:v>
      </x:c>
      <x:c r="C150" s="18" t="str">
        <x:v>2026-01-01</x:v>
      </x:c>
      <x:c r="D150" s="18" t="str">
        <x:v>2026-06-30</x:v>
      </x:c>
      <x:c r="E150" s="18" t="str">
        <x:v>https://www.sec.gov/Archives/edgar/data/1018724/000101872426000026/0001018724-26-000026-index.html | sec:eac8b62537bf501dcd0a67bad2409decc6013a97b9f7971108c0951e219d1354</x:v>
      </x:c>
    </x:row>
    <x:row r="151">
      <x:c r="A151" s="18" t="str">
        <x:v>IncomeTaxExpenseBenefit</x:v>
      </x:c>
      <x:c r="B151" s="22" t="n">
        <x:v>27759</x:v>
      </x:c>
      <x:c r="C151" s="18" t="str">
        <x:v>2026-01-01</x:v>
      </x:c>
      <x:c r="D151" s="18" t="str">
        <x:v>2026-06-30</x:v>
      </x:c>
      <x:c r="E151" s="18" t="str">
        <x:v>https://www.sec.gov/Archives/edgar/data/1018724/000101872426000026/0001018724-26-000026-index.html | sec:33402915482d436249daf6c1ce908f439c3cfcdc7a4ba6718585e3491bcbf0e2</x:v>
      </x:c>
    </x:row>
    <x:row r="152">
      <x:c r="A152" s="18" t="str">
        <x:v>NetIncomeLoss</x:v>
      </x:c>
      <x:c r="B152" s="22" t="n">
        <x:v>92902</x:v>
      </x:c>
      <x:c r="C152" s="18" t="str">
        <x:v>2026-01-01</x:v>
      </x:c>
      <x:c r="D152" s="18" t="str">
        <x:v>2026-06-30</x:v>
      </x:c>
      <x:c r="E152" s="18" t="str">
        <x:v>https://www.sec.gov/Archives/edgar/data/1018724/000101872426000026/0001018724-26-000026-index.html | sec:c2bac25644b43f5037e69701b25bb943675af887190f6a5febafa0d8b6b08a98</x:v>
      </x:c>
    </x:row>
    <x:row r="153">
      <x:c r="A153" s="18" t="str">
        <x:v>DepreciationDepletionAndAmortization</x:v>
      </x:c>
      <x:c r="B153" s="22" t="n">
        <x:v>38933</x:v>
      </x:c>
      <x:c r="C153" s="18" t="str">
        <x:v>2026-01-01</x:v>
      </x:c>
      <x:c r="D153" s="18" t="str">
        <x:v>2026-06-30</x:v>
      </x:c>
      <x:c r="E153" s="18" t="str">
        <x:v>https://www.sec.gov/Archives/edgar/data/1018724/000101872426000026/0001018724-26-000026-index.html | sec:d1fb0c7aa6d81fe8bd84d231396204df49ea9210f030d891ca8b6cb5608b7d57</x:v>
      </x:c>
    </x:row>
    <x:row r="154">
      <x:c r="A154" s="18" t="str">
        <x:v>NetCashProvidedByUsedInOperatingActivities</x:v>
      </x:c>
      <x:c r="B154" s="22" t="n">
        <x:v>71419</x:v>
      </x:c>
      <x:c r="C154" s="18" t="str">
        <x:v>2026-01-01</x:v>
      </x:c>
      <x:c r="D154" s="18" t="str">
        <x:v>2026-06-30</x:v>
      </x:c>
      <x:c r="E154" s="18" t="str">
        <x:v>https://www.sec.gov/Archives/edgar/data/1018724/000101872426000026/0001018724-26-000026-index.html | sec:c3ed79334ee854f13342d4aa2a6886c8b48187fa84b5dd90f108c2d533fdf0e2</x:v>
      </x:c>
    </x:row>
    <x:row r="155">
      <x:c r="A155" s="18" t="str">
        <x:v>AssetsCurrent</x:v>
      </x:c>
      <x:c r="B155" s="22" t="n">
        <x:v>249264</x:v>
      </x:c>
      <x:c r="C155" s="18" t="str">
        <x:v>instant</x:v>
      </x:c>
      <x:c r="D155" s="18" t="str">
        <x:v>2026-06-30</x:v>
      </x:c>
      <x:c r="E155" s="18" t="str">
        <x:v>https://www.sec.gov/Archives/edgar/data/1018724/000101872426000026/0001018724-26-000026-index.html | sec:e3bf082ff4dcc4ffcb9fabd9b226f15647696b1db12d5808099e67d07bfc391e</x:v>
      </x:c>
    </x:row>
    <x:row r="156">
      <x:c r="A156" s="18" t="str">
        <x:v>LiabilitiesCurrent</x:v>
      </x:c>
      <x:c r="B156" s="22" t="n">
        <x:v>241274</x:v>
      </x:c>
      <x:c r="C156" s="18" t="str">
        <x:v>instant</x:v>
      </x:c>
      <x:c r="D156" s="18" t="str">
        <x:v>2026-06-30</x:v>
      </x:c>
      <x:c r="E156" s="18" t="str">
        <x:v>https://www.sec.gov/Archives/edgar/data/1018724/000101872426000026/0001018724-26-000026-index.html | sec:4cab8f8a6f9cf9056ba2844d172f0accda2c6e1fda37e48ca22e8e92a0db4b10</x:v>
      </x:c>
    </x:row>
    <x:row r="157">
      <x:c r="A157" s="18" t="str">
        <x:v>Assets</x:v>
      </x:c>
      <x:c r="B157" s="22" t="n">
        <x:v>1095689</x:v>
      </x:c>
      <x:c r="C157" s="18" t="str">
        <x:v>instant</x:v>
      </x:c>
      <x:c r="D157" s="18" t="str">
        <x:v>2026-06-30</x:v>
      </x:c>
      <x:c r="E157" s="18" t="str">
        <x:v>https://www.sec.gov/Archives/edgar/data/1018724/000101872426000026/0001018724-26-000026-index.html | sec:26fca84ca921fe7677bf6d6d5e0a3d911b33f95eaeda6f2f1eeca8afe082ae2a</x:v>
      </x:c>
    </x:row>
    <x:row r="158">
      <x:c r="A158" s="18" t="str">
        <x:v>StockholdersEquity</x:v>
      </x:c>
      <x:c r="B158" s="22" t="n">
        <x:v>551620</x:v>
      </x:c>
      <x:c r="C158" s="18" t="str">
        <x:v>instant</x:v>
      </x:c>
      <x:c r="D158" s="18" t="str">
        <x:v>2026-06-30</x:v>
      </x:c>
      <x:c r="E158" s="18" t="str">
        <x:v>https://www.sec.gov/Archives/edgar/data/1018724/000101872426000026/0001018724-26-000026-index.html | sec:73425ddcdae516738941878b88222d6163b30fcbbe5183e08a72cf6b9e00abdc</x:v>
      </x:c>
    </x:row>
    <x:row r="159">
      <x:c r="A159" s="18" t="str">
        <x:v>CashAndCashEquivalentsAtCarryingValue</x:v>
      </x:c>
      <x:c r="B159" s="22" t="n">
        <x:v>78213</x:v>
      </x:c>
      <x:c r="C159" s="18" t="str">
        <x:v>instant</x:v>
      </x:c>
      <x:c r="D159" s="18" t="str">
        <x:v>2026-06-30</x:v>
      </x:c>
      <x:c r="E159" s="18" t="str">
        <x:v>https://www.sec.gov/Archives/edgar/data/1018724/000101872426000026/0001018724-26-000026-index.html | sec:e17c63966919388e2a36992559e141913b0aac187eea96e1b1adf47f8ad135ec</x:v>
      </x:c>
    </x:row>
    <x:row r="160">
      <x:c r="A160" s="18" t="str">
        <x:v>RevenueFromContractWithCustomerExcludingAssessedTax</x:v>
      </x:c>
      <x:c r="B160" s="22" t="n">
        <x:v>323369</x:v>
      </x:c>
      <x:c r="C160" s="18" t="str">
        <x:v>2025-01-01</x:v>
      </x:c>
      <x:c r="D160" s="18" t="str">
        <x:v>2025-06-30</x:v>
      </x:c>
      <x:c r="E160" s="18" t="str">
        <x:v>https://www.sec.gov/Archives/edgar/data/1018724/000101872426000026/0001018724-26-000026-index.html; https://www.sec.gov/Archives/edgar/data/1018724/000101872425000086/0001018724-25-000086-index.html | sec:a6114099babb584876b30e9ccd1984bfc167060377b78e3f4b2b625929eb179c; sec:5f22b77e4c896da304d73dd1c5c1aed7c5d7cca90d54d4e3c36fdbc7fa7a6893</x:v>
      </x:c>
    </x:row>
    <x:row r="161">
      <x:c r="A161" s="18" t="str">
        <x:v>CostOfGoodsAndServicesSold</x:v>
      </x:c>
      <x:c r="B161" s="22" t="n">
        <x:v>157785</x:v>
      </x:c>
      <x:c r="C161" s="18" t="str">
        <x:v>2025-01-01</x:v>
      </x:c>
      <x:c r="D161" s="18" t="str">
        <x:v>2025-06-30</x:v>
      </x:c>
      <x:c r="E161" s="18" t="str">
        <x:v>https://www.sec.gov/Archives/edgar/data/1018724/000101872426000026/0001018724-26-000026-index.html; https://www.sec.gov/Archives/edgar/data/1018724/000101872425000086/0001018724-25-000086-index.html | sec:9d13d43380b1bcc6a1d1c5d04498cb1ac2d63f2e2569ad22853dca18f895d5fe; sec:c1ea70c26783c5859062b0fec0c26ecfca79b2149f54b74e1368ee6cdb2c4dfd</x:v>
      </x:c>
    </x:row>
    <x:row r="162">
      <x:c r="A162" s="18" t="str">
        <x:v>OperatingIncomeLoss</x:v>
      </x:c>
      <x:c r="B162" s="22" t="n">
        <x:v>37576</x:v>
      </x:c>
      <x:c r="C162" s="18" t="str">
        <x:v>2025-01-01</x:v>
      </x:c>
      <x:c r="D162" s="18" t="str">
        <x:v>2025-06-30</x:v>
      </x:c>
      <x:c r="E162" s="18" t="str">
        <x:v>https://www.sec.gov/Archives/edgar/data/1018724/000101872426000026/0001018724-26-000026-index.html; https://www.sec.gov/Archives/edgar/data/1018724/000101872425000086/0001018724-25-000086-index.html | sec:801ab919855c7fb26da0d0433aea38a8936af21c509460dd9ba92e4cf899af6f; sec:4aafcd753b5a9d994af55d30a571ec2a63a9582a386b80561f67f08f2df09f30</x:v>
      </x:c>
    </x:row>
    <x:row r="163">
      <x:c r="A163" s="18" t="str">
        <x:v>InterestExpenseNonoperating</x:v>
      </x:c>
      <x:c r="B163" s="22" t="n">
        <x:v>1057</x:v>
      </x:c>
      <x:c r="C163" s="18" t="str">
        <x:v>2025-01-01</x:v>
      </x:c>
      <x:c r="D163" s="18" t="str">
        <x:v>2025-06-30</x:v>
      </x:c>
      <x:c r="E163" s="18" t="str">
        <x:v>https://www.sec.gov/Archives/edgar/data/1018724/000101872426000026/0001018724-26-000026-index.html; https://www.sec.gov/Archives/edgar/data/1018724/000101872425000086/0001018724-25-000086-index.html | sec:1a34acec5579aae3245c6cf4a0b43e62605837e9cb0b7463de877ffac039d239; sec:02648bca154b89f38e50aa498edec1d316bb1af25cee075b5466e1fb3baad4be</x:v>
      </x:c>
    </x:row>
    <x:row r="164">
      <x:c r="A164" s="18" t="str">
        <x:v>IncomeTaxExpenseBenefit</x:v>
      </x:c>
      <x:c r="B164" s="22" t="n">
        <x:v>7231</x:v>
      </x:c>
      <x:c r="C164" s="18" t="str">
        <x:v>2025-01-01</x:v>
      </x:c>
      <x:c r="D164" s="18" t="str">
        <x:v>2025-06-30</x:v>
      </x:c>
      <x:c r="E164" s="18" t="str">
        <x:v>https://www.sec.gov/Archives/edgar/data/1018724/000101872426000026/0001018724-26-000026-index.html; https://www.sec.gov/Archives/edgar/data/1018724/000101872425000086/0001018724-25-000086-index.html | sec:d4bddc7edcd8acb1e2b879326a16ea78858e81900a8be0952bf491f6d34c4994; sec:dcff6ca10d786721667eb051e7010b372d577b9bbeb755ae308348e29a8d19b3</x:v>
      </x:c>
    </x:row>
    <x:row r="165">
      <x:c r="A165" s="18" t="str">
        <x:v>NetIncomeLoss</x:v>
      </x:c>
      <x:c r="B165" s="22" t="n">
        <x:v>35291</x:v>
      </x:c>
      <x:c r="C165" s="18" t="str">
        <x:v>2025-01-01</x:v>
      </x:c>
      <x:c r="D165" s="18" t="str">
        <x:v>2025-06-30</x:v>
      </x:c>
      <x:c r="E165" s="18" t="str">
        <x:v>https://www.sec.gov/Archives/edgar/data/1018724/000101872426000026/0001018724-26-000026-index.html; https://www.sec.gov/Archives/edgar/data/1018724/000101872425000086/0001018724-25-000086-index.html | sec:9caf6b281e520c165713e83057db3883ded0ef89dde55c15441e4c5dd8f2161f; sec:2e6b178d9c5e9bb31517979eb1eed6f590527b814eda1048c9d489b85b8613e2</x:v>
      </x:c>
    </x:row>
    <x:row r="166">
      <x:c r="A166" s="18" t="str">
        <x:v>DepreciationDepletionAndAmortization</x:v>
      </x:c>
      <x:c r="B166" s="22" t="n">
        <x:v>29489</x:v>
      </x:c>
      <x:c r="C166" s="18" t="str">
        <x:v>2025-01-01</x:v>
      </x:c>
      <x:c r="D166" s="18" t="str">
        <x:v>2025-06-30</x:v>
      </x:c>
      <x:c r="E166" s="18" t="str">
        <x:v>https://www.sec.gov/Archives/edgar/data/1018724/000101872426000026/0001018724-26-000026-index.html; https://www.sec.gov/Archives/edgar/data/1018724/000101872425000086/0001018724-25-000086-index.html | sec:a5aa722dd668dfe2efdb84bbc100a4eaf94f416a6e4fb345ec31cf182ca64ec4; sec:3a4b91c6ab2a0a16243ccef7f2236b686eaba4ea8d4b387dd34902ac6218aa88</x:v>
      </x:c>
    </x:row>
    <x:row r="167">
      <x:c r="A167" s="18" t="str">
        <x:v>NetCashProvidedByUsedInOperatingActivities</x:v>
      </x:c>
      <x:c r="B167" s="22" t="n">
        <x:v>49530</x:v>
      </x:c>
      <x:c r="C167" s="18" t="str">
        <x:v>2025-01-01</x:v>
      </x:c>
      <x:c r="D167" s="18" t="str">
        <x:v>2025-06-30</x:v>
      </x:c>
      <x:c r="E167" s="18" t="str">
        <x:v>https://www.sec.gov/Archives/edgar/data/1018724/000101872426000026/0001018724-26-000026-index.html; https://www.sec.gov/Archives/edgar/data/1018724/000101872425000086/0001018724-25-000086-index.html | sec:ef33f1d1049a54f998e3ee5e6875837fe701efd71fb50a627d41398f70f7c174; sec:596eb5b9ab654382646f56e5a3cebc56fe5f17202858106c3dee7d2b3c820fb0</x:v>
      </x:c>
    </x:row>
    <x:row r="168">
      <x:c r="A168" s="18"/>
      <x:c r="B168" s="18"/>
      <x:c r="C168" s="18"/>
      <x:c r="D168" s="18"/>
      <x:c r="E168" s="18"/>
    </x:row>
  </x:sheetData>
  <x:mergeCells>
    <x:mergeCell ref="A3:E3"/>
    <x:mergeCell ref="A4:E4"/>
    <x:mergeCell ref="A5:E5"/>
    <x:mergeCell ref="A6:E6"/>
    <x:mergeCell ref="A8:E8"/>
    <x:mergeCell ref="A20:E20"/>
    <x:mergeCell ref="A21:E21"/>
    <x:mergeCell ref="A22:E22"/>
    <x:mergeCell ref="A23:E23"/>
    <x:mergeCell ref="A24:E24"/>
    <x:mergeCell ref="A26:E26"/>
    <x:mergeCell ref="A32:E32"/>
    <x:mergeCell ref="A33:E33"/>
    <x:mergeCell ref="A35:E35"/>
    <x:mergeCell ref="A42:E42"/>
    <x:mergeCell ref="A43:E43"/>
    <x:mergeCell ref="A44:E44"/>
    <x:mergeCell ref="A46:E46"/>
    <x:mergeCell ref="A48:E48"/>
  </x:mergeCells>
  <x:pageMargins left="0.7" right="0.7" top="0.75" bottom="0.75" header="0.3" footer="0.3"/>
</x:worksheet>
</file>